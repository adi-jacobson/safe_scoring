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f770f46cc50d6b/Documents/Safe Cracking/safe_scoring/"/>
    </mc:Choice>
  </mc:AlternateContent>
  <xr:revisionPtr revIDLastSave="0" documentId="8_{5B2144F2-393F-43C8-BF4E-ECFCC1AC86CD}" xr6:coauthVersionLast="47" xr6:coauthVersionMax="47" xr10:uidLastSave="{00000000-0000-0000-0000-000000000000}"/>
  <bookViews>
    <workbookView xWindow="-98" yWindow="-98" windowWidth="21795" windowHeight="12975" xr2:uid="{F7FDBED0-0AE5-49F5-BEE0-8C9842E3EC4D}"/>
  </bookViews>
  <sheets>
    <sheet name="Tracker" sheetId="1" r:id="rId1"/>
    <sheet name="Global Valu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F37" i="1"/>
  <c r="G37" i="1"/>
  <c r="H37" i="1"/>
  <c r="I37" i="1"/>
  <c r="D37" i="1"/>
  <c r="BV25" i="1"/>
  <c r="BV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6" i="1"/>
  <c r="BV28" i="1"/>
  <c r="BV29" i="1"/>
  <c r="BV30" i="1"/>
  <c r="BV31" i="1"/>
  <c r="BV32" i="1"/>
  <c r="BV33" i="1"/>
  <c r="BV34" i="1"/>
  <c r="BV35" i="1"/>
  <c r="BW7" i="1" a="1"/>
  <c r="BW8" i="1" a="1"/>
  <c r="BW10" i="1" a="1"/>
  <c r="BW11" i="1" a="1"/>
  <c r="BW12" i="1" a="1"/>
  <c r="BW13" i="1" a="1"/>
  <c r="BW14" i="1" a="1"/>
  <c r="BW15" i="1" a="1"/>
  <c r="BW16" i="1" a="1"/>
  <c r="BW17" i="1" a="1"/>
  <c r="BW18" i="1" a="1"/>
  <c r="BW19" i="1" a="1"/>
  <c r="BW20" i="1" a="1"/>
  <c r="BW21" i="1" a="1"/>
  <c r="BW22" i="1" a="1"/>
  <c r="BW23" i="1" a="1"/>
  <c r="BW24" i="1" a="1"/>
  <c r="BW25" i="1" a="1"/>
  <c r="BW26" i="1" a="1"/>
  <c r="BW27" i="1" a="1"/>
  <c r="BW28" i="1" a="1"/>
  <c r="BW29" i="1" a="1"/>
  <c r="BW30" i="1" a="1"/>
  <c r="BW31" i="1" a="1"/>
  <c r="BW32" i="1" a="1"/>
  <c r="BW33" i="1" a="1"/>
  <c r="BW34" i="1" a="1"/>
  <c r="BW35" i="1" a="1"/>
  <c r="BW6" i="1" a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AR37" i="1"/>
  <c r="AX36" i="1"/>
  <c r="AY36" i="1"/>
  <c r="AZ36" i="1"/>
  <c r="BA36" i="1"/>
  <c r="BB36" i="1"/>
  <c r="BC36" i="1"/>
  <c r="BC38" i="1" s="1"/>
  <c r="BD36" i="1"/>
  <c r="BE36" i="1"/>
  <c r="BE38" i="1" s="1"/>
  <c r="BF36" i="1"/>
  <c r="BG36" i="1"/>
  <c r="BH36" i="1"/>
  <c r="BI36" i="1"/>
  <c r="BJ36" i="1"/>
  <c r="BJ38" i="1" s="1"/>
  <c r="BK36" i="1"/>
  <c r="BL36" i="1"/>
  <c r="BM36" i="1"/>
  <c r="BM38" i="1" s="1"/>
  <c r="BN36" i="1"/>
  <c r="BN38" i="1" s="1"/>
  <c r="BO36" i="1"/>
  <c r="BP36" i="1"/>
  <c r="BP38" i="1" s="1"/>
  <c r="BQ36" i="1"/>
  <c r="BQ38" i="1" s="1"/>
  <c r="BR36" i="1"/>
  <c r="BR38" i="1" s="1"/>
  <c r="BS36" i="1"/>
  <c r="BS38" i="1" s="1"/>
  <c r="BT36" i="1"/>
  <c r="BT38" i="1" s="1"/>
  <c r="BU36" i="1"/>
  <c r="BU38" i="1" s="1"/>
  <c r="AW36" i="1"/>
  <c r="AV36" i="1"/>
  <c r="AU36" i="1"/>
  <c r="AT36" i="1"/>
  <c r="AS36" i="1"/>
  <c r="AR36" i="1"/>
  <c r="AR4" i="1" a="1"/>
  <c r="N4" i="1" a="1"/>
  <c r="BB38" i="1"/>
  <c r="BV27" i="1"/>
  <c r="BK38" i="1"/>
  <c r="BO38" i="1"/>
  <c r="AT38" i="1"/>
  <c r="AS38" i="1"/>
  <c r="BL38" i="1"/>
  <c r="AV38" i="1"/>
  <c r="AW38" i="1"/>
  <c r="BG38" i="1"/>
  <c r="BI38" i="1"/>
  <c r="BH38" i="1"/>
  <c r="BF38" i="1"/>
  <c r="BD38" i="1"/>
  <c r="BA38" i="1"/>
  <c r="AZ38" i="1"/>
  <c r="AY38" i="1"/>
  <c r="AX38" i="1"/>
  <c r="AU38" i="1"/>
  <c r="AR38" i="1"/>
  <c r="BX6" i="1" l="1" a="1"/>
  <c r="BZ7" i="1" l="1"/>
  <c r="BZ8" i="1"/>
  <c r="BZ21" i="1"/>
  <c r="BZ22" i="1"/>
  <c r="BZ27" i="1"/>
  <c r="BZ29" i="1"/>
  <c r="BZ24" i="1"/>
  <c r="BZ34" i="1"/>
  <c r="BZ10" i="1"/>
  <c r="BZ23" i="1"/>
  <c r="BZ32" i="1"/>
  <c r="BZ11" i="1"/>
  <c r="BZ15" i="1"/>
  <c r="BZ14" i="1"/>
  <c r="BZ25" i="1"/>
  <c r="CA25" i="1" s="1"/>
  <c r="BZ35" i="1"/>
  <c r="BZ19" i="1"/>
  <c r="BZ17" i="1"/>
  <c r="BZ33" i="1"/>
  <c r="BZ30" i="1"/>
  <c r="BZ12" i="1"/>
  <c r="BZ6" i="1" s="1"/>
  <c r="BZ13" i="1"/>
  <c r="BZ28" i="1"/>
  <c r="BZ16" i="1"/>
  <c r="BZ18" i="1"/>
  <c r="BZ31" i="1"/>
  <c r="BZ20" i="1"/>
  <c r="BZ26" i="1"/>
  <c r="CA26" i="1" s="1"/>
  <c r="CA24" i="1" l="1"/>
  <c r="BW9" i="1" a="1"/>
  <c r="BZ9" i="1" s="1"/>
  <c r="CA17" i="1" l="1"/>
  <c r="CA14" i="1"/>
  <c r="CA7" i="1"/>
  <c r="CA16" i="1"/>
  <c r="CA10" i="1"/>
  <c r="CA18" i="1"/>
  <c r="CA6" i="1"/>
  <c r="CA21" i="1"/>
  <c r="CA12" i="1"/>
  <c r="CA11" i="1"/>
  <c r="CA8" i="1"/>
  <c r="CA23" i="1"/>
  <c r="CA20" i="1"/>
  <c r="CA22" i="1"/>
  <c r="CA13" i="1"/>
  <c r="CA9" i="1"/>
  <c r="CA15" i="1"/>
  <c r="CA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<sst xmlns="http://schemas.openxmlformats.org/spreadsheetml/2006/main" count="139" uniqueCount="61">
  <si>
    <t>Judges</t>
  </si>
  <si>
    <t>Attacking Safe</t>
  </si>
  <si>
    <t>Defending Safe Name</t>
  </si>
  <si>
    <t>Code</t>
  </si>
  <si>
    <t>Judge 8</t>
  </si>
  <si>
    <t>Judge 9</t>
  </si>
  <si>
    <t>Judge 10</t>
  </si>
  <si>
    <t>Peer Score</t>
  </si>
  <si>
    <t>Cracked?</t>
  </si>
  <si>
    <t>Judges Score</t>
  </si>
  <si>
    <t>Cracking Score</t>
  </si>
  <si>
    <t>Resistance Score</t>
  </si>
  <si>
    <t>Weighted Sum</t>
  </si>
  <si>
    <t>Judges notes</t>
  </si>
  <si>
    <t>Safe 22</t>
  </si>
  <si>
    <t>Safe 23</t>
  </si>
  <si>
    <t>Safe 24</t>
  </si>
  <si>
    <t>Safe 25</t>
  </si>
  <si>
    <t>Safe 26</t>
  </si>
  <si>
    <t>Safe 27</t>
  </si>
  <si>
    <t>Safe 28</t>
  </si>
  <si>
    <t>Safe 29</t>
  </si>
  <si>
    <t>Safe 30</t>
  </si>
  <si>
    <t>Max Judge Score</t>
  </si>
  <si>
    <t>Max Peer Score</t>
  </si>
  <si>
    <t>Judge Weighting</t>
  </si>
  <si>
    <t>Peer Weighting</t>
  </si>
  <si>
    <t>Cracking Weighting</t>
  </si>
  <si>
    <t>Resistance Weighting</t>
  </si>
  <si>
    <t>Safe 19</t>
  </si>
  <si>
    <t>Safe 20</t>
  </si>
  <si>
    <t>Safe 21</t>
  </si>
  <si>
    <t>1A</t>
  </si>
  <si>
    <t>1B</t>
  </si>
  <si>
    <t>1C</t>
  </si>
  <si>
    <t>1D</t>
  </si>
  <si>
    <t>1E</t>
  </si>
  <si>
    <t>1F</t>
  </si>
  <si>
    <t>2A</t>
  </si>
  <si>
    <t>2B</t>
  </si>
  <si>
    <t>2C</t>
  </si>
  <si>
    <t>2D</t>
  </si>
  <si>
    <t>2E</t>
  </si>
  <si>
    <t>2F</t>
  </si>
  <si>
    <t>3A</t>
  </si>
  <si>
    <t>3B</t>
  </si>
  <si>
    <t>3C</t>
  </si>
  <si>
    <t>3D</t>
  </si>
  <si>
    <t>3E</t>
  </si>
  <si>
    <t>3F</t>
  </si>
  <si>
    <t>Judge 7</t>
  </si>
  <si>
    <t>3. Dead or Alive</t>
  </si>
  <si>
    <t>Judge's Choice: FZN</t>
  </si>
  <si>
    <t>1. Rice to the occasion</t>
  </si>
  <si>
    <t>2. Cooke's Arcade</t>
  </si>
  <si>
    <t>J1</t>
  </si>
  <si>
    <t>J2</t>
  </si>
  <si>
    <t>J3</t>
  </si>
  <si>
    <t>J4</t>
  </si>
  <si>
    <t>J5</t>
  </si>
  <si>
    <t>J6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</si>
</sst>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textRotation="90"/>
    </xf>
    <xf numFmtId="0" fontId="0" fillId="0" borderId="1" xfId="0" applyBorder="1"/>
    <xf numFmtId="0" fontId="0" fillId="0" borderId="6" xfId="0" applyBorder="1"/>
    <xf numFmtId="0" fontId="0" fillId="0" borderId="1" xfId="0" applyBorder="1" applyAlignment="1">
      <alignment textRotation="90"/>
    </xf>
    <xf numFmtId="9" fontId="0" fillId="0" borderId="0" xfId="0" applyNumberFormat="1"/>
    <xf numFmtId="2" fontId="0" fillId="0" borderId="1" xfId="0" applyNumberFormat="1" applyBorder="1"/>
    <xf numFmtId="0" fontId="0" fillId="2" borderId="6" xfId="0" applyFill="1" applyBorder="1" applyAlignment="1">
      <alignment textRotation="90"/>
    </xf>
    <xf numFmtId="2" fontId="0" fillId="0" borderId="0" xfId="0" applyNumberFormat="1"/>
    <xf numFmtId="0" fontId="0" fillId="0" borderId="0" xfId="0" applyAlignment="1">
      <alignment horizontal="center" textRotation="90"/>
    </xf>
    <xf numFmtId="0" fontId="0" fillId="0" borderId="1" xfId="0" applyBorder="1" applyAlignment="1">
      <alignment horizontal="center" textRotation="90"/>
    </xf>
    <xf numFmtId="0" fontId="0" fillId="0" borderId="8" xfId="0" applyBorder="1" applyAlignment="1">
      <alignment textRotation="90"/>
    </xf>
    <xf numFmtId="0" fontId="0" fillId="0" borderId="8" xfId="0" applyBorder="1"/>
    <xf numFmtId="0" fontId="0" fillId="2" borderId="7" xfId="0" applyFill="1" applyBorder="1" applyAlignment="1">
      <alignment textRotation="90"/>
    </xf>
    <xf numFmtId="1" fontId="0" fillId="0" borderId="0" xfId="0" applyNumberFormat="1"/>
    <xf numFmtId="0" fontId="0" fillId="3" borderId="0" xfId="0" applyFill="1"/>
    <xf numFmtId="0" fontId="0" fillId="2" borderId="0" xfId="0" applyFill="1" applyAlignment="1">
      <alignment textRotation="90"/>
    </xf>
    <xf numFmtId="0" fontId="0" fillId="4" borderId="7" xfId="0" applyFill="1" applyBorder="1" applyAlignment="1">
      <alignment textRotation="90"/>
    </xf>
    <xf numFmtId="0" fontId="0" fillId="4" borderId="6" xfId="0" applyFill="1" applyBorder="1" applyAlignment="1">
      <alignment textRotation="90"/>
    </xf>
    <xf numFmtId="0" fontId="0" fillId="4" borderId="5" xfId="0" applyFill="1" applyBorder="1" applyAlignment="1">
      <alignment textRotation="90"/>
    </xf>
    <xf numFmtId="0" fontId="0" fillId="4" borderId="0" xfId="0" applyFill="1" applyAlignment="1">
      <alignment textRotation="90"/>
    </xf>
    <xf numFmtId="0" fontId="0" fillId="5" borderId="0" xfId="0" applyFill="1"/>
    <xf numFmtId="0" fontId="0" fillId="5" borderId="0" xfId="0" applyFill="1" applyAlignment="1">
      <alignment textRotation="90"/>
    </xf>
    <xf numFmtId="0" fontId="0" fillId="6" borderId="7" xfId="0" applyFill="1" applyBorder="1" applyAlignment="1">
      <alignment textRotation="90"/>
    </xf>
    <xf numFmtId="0" fontId="0" fillId="6" borderId="6" xfId="0" applyFill="1" applyBorder="1" applyAlignment="1">
      <alignment textRotation="90"/>
    </xf>
    <xf numFmtId="0" fontId="0" fillId="6" borderId="5" xfId="0" applyFill="1" applyBorder="1" applyAlignment="1">
      <alignment textRotation="90"/>
    </xf>
    <xf numFmtId="0" fontId="0" fillId="6" borderId="0" xfId="0" applyFill="1" applyAlignment="1">
      <alignment textRotation="90"/>
    </xf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2" fontId="3" fillId="0" borderId="1" xfId="0" applyNumberFormat="1" applyFont="1" applyBorder="1"/>
    <xf numFmtId="1" fontId="3" fillId="0" borderId="0" xfId="0" applyNumberFormat="1" applyFont="1"/>
    <xf numFmtId="164" fontId="4" fillId="0" borderId="0" xfId="0" applyNumberFormat="1" applyFont="1"/>
    <xf numFmtId="164" fontId="4" fillId="0" borderId="8" xfId="0" applyNumberFormat="1" applyFont="1" applyBorder="1"/>
    <xf numFmtId="164" fontId="4" fillId="3" borderId="0" xfId="0" applyNumberFormat="1" applyFont="1" applyFill="1"/>
    <xf numFmtId="164" fontId="4" fillId="0" borderId="1" xfId="0" applyNumberFormat="1" applyFont="1" applyBorder="1"/>
    <xf numFmtId="2" fontId="3" fillId="0" borderId="0" xfId="0" applyNumberFormat="1" applyFont="1"/>
    <xf numFmtId="0" fontId="0" fillId="10" borderId="1" xfId="0" applyFill="1" applyBorder="1"/>
    <xf numFmtId="0" fontId="0" fillId="10" borderId="0" xfId="0" applyFill="1"/>
    <xf numFmtId="0" fontId="0" fillId="7" borderId="0" xfId="0" applyFill="1"/>
    <xf numFmtId="0" fontId="0" fillId="3" borderId="2" xfId="0" applyFill="1" applyBorder="1"/>
    <xf numFmtId="164" fontId="0" fillId="3" borderId="2" xfId="0" applyNumberFormat="1" applyFill="1" applyBorder="1"/>
    <xf numFmtId="164" fontId="0" fillId="10" borderId="0" xfId="0" applyNumberFormat="1" applyFill="1"/>
    <xf numFmtId="164" fontId="0" fillId="0" borderId="0" xfId="0" applyNumberFormat="1"/>
    <xf numFmtId="164" fontId="0" fillId="10" borderId="1" xfId="0" applyNumberFormat="1" applyFill="1" applyBorder="1"/>
    <xf numFmtId="164" fontId="0" fillId="3" borderId="0" xfId="0" applyNumberFormat="1" applyFill="1"/>
    <xf numFmtId="164" fontId="0" fillId="0" borderId="1" xfId="0" applyNumberFormat="1" applyBorder="1"/>
    <xf numFmtId="0" fontId="0" fillId="9" borderId="0" xfId="0" applyFill="1"/>
    <xf numFmtId="164" fontId="0" fillId="9" borderId="0" xfId="0" applyNumberForma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5"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5F36A-271B-4008-8473-38C705CB09DB}">
  <dimension ref="A3:CD38"/>
  <sheetViews>
    <sheetView tabSelected="1" zoomScale="96" zoomScaleNormal="85" workbookViewId="0">
      <pane xSplit="2" topLeftCell="C1" activePane="topRight" state="frozen"/>
      <selection pane="topRight" activeCell="I6" sqref="I6"/>
    </sheetView>
  </sheetViews>
  <sheetFormatPr defaultRowHeight="14.25" x14ac:dyDescent="0.45"/>
  <cols>
    <col min="2" max="2" width="42" customWidth="1"/>
    <col min="4" max="9" width="5.265625" customWidth="1"/>
    <col min="10" max="33" width="3.53125" customWidth="1"/>
    <col min="34" max="42" width="3.53125" hidden="1" customWidth="1"/>
    <col min="43" max="43" width="3.53125" customWidth="1"/>
    <col min="44" max="61" width="3.33203125" bestFit="1" customWidth="1"/>
    <col min="62" max="62" width="6.19921875" bestFit="1" customWidth="1"/>
    <col min="63" max="63" width="4.19921875" hidden="1" customWidth="1"/>
    <col min="64" max="72" width="3.53125" hidden="1" customWidth="1"/>
    <col min="73" max="73" width="3.53125" customWidth="1"/>
    <col min="79" max="79" width="7.6640625" bestFit="1" customWidth="1"/>
  </cols>
  <sheetData>
    <row r="3" spans="1:82" ht="14.65" hidden="1" thickTop="1" x14ac:dyDescent="0.45">
      <c r="D3" s="49" t="s">
        <v>0</v>
      </c>
      <c r="E3" s="50"/>
      <c r="F3" s="50"/>
      <c r="G3" s="50"/>
      <c r="H3" s="50"/>
      <c r="I3" s="50"/>
      <c r="J3" s="50"/>
      <c r="K3" s="50"/>
      <c r="L3" s="50"/>
      <c r="M3" s="51"/>
      <c r="N3" s="49" t="s">
        <v>1</v>
      </c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49" t="s">
        <v>1</v>
      </c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1"/>
    </row>
    <row r="4" spans="1:82" ht="67.5" customHeight="1" x14ac:dyDescent="0.45">
      <c r="D4" s="2"/>
      <c r="N4" s="10" t="str" cm="1">
        <f t="array" ref="N4:AQ4">TRANSPOSE(B6:B35)</f>
        <v>1A</v>
      </c>
      <c r="O4" s="9" t="str">
        <v>1B</v>
      </c>
      <c r="P4" s="9" t="str">
        <v>1C</v>
      </c>
      <c r="Q4" s="9" t="str">
        <v>1D</v>
      </c>
      <c r="R4" s="9" t="str">
        <v>1E</v>
      </c>
      <c r="S4" s="9" t="str">
        <v>1F</v>
      </c>
      <c r="T4" s="9" t="str">
        <v>2A</v>
      </c>
      <c r="U4" s="9" t="str">
        <v>2B</v>
      </c>
      <c r="V4" s="9" t="str">
        <v>2C</v>
      </c>
      <c r="W4" s="9" t="str">
        <v>2D</v>
      </c>
      <c r="X4" s="9" t="str">
        <v>2E</v>
      </c>
      <c r="Y4" s="9" t="str">
        <v>2F</v>
      </c>
      <c r="Z4" s="9" t="str">
        <v>3A</v>
      </c>
      <c r="AA4" s="9" t="str">
        <v>3B</v>
      </c>
      <c r="AB4" s="9" t="str">
        <v>3C</v>
      </c>
      <c r="AC4" s="9" t="str">
        <v>3D</v>
      </c>
      <c r="AD4" s="9" t="str">
        <v>3E</v>
      </c>
      <c r="AE4" s="9" t="str">
        <v>3F</v>
      </c>
      <c r="AF4" s="9" t="str">
        <v>Safe 19</v>
      </c>
      <c r="AG4" s="9" t="str">
        <v>Safe 20</v>
      </c>
      <c r="AH4" s="9" t="str">
        <v>Safe 21</v>
      </c>
      <c r="AI4" s="9" t="str">
        <v>Safe 22</v>
      </c>
      <c r="AJ4" s="9" t="str">
        <v>Safe 23</v>
      </c>
      <c r="AK4" s="9" t="str">
        <v>Safe 24</v>
      </c>
      <c r="AL4" s="9" t="str">
        <v>Safe 25</v>
      </c>
      <c r="AM4" s="9" t="str">
        <v>Safe 26</v>
      </c>
      <c r="AN4" s="9" t="str">
        <v>Safe 27</v>
      </c>
      <c r="AO4" s="9" t="str">
        <v>Safe 28</v>
      </c>
      <c r="AP4" s="9" t="str">
        <v>Safe 29</v>
      </c>
      <c r="AQ4" s="9" t="str">
        <v>Safe 30</v>
      </c>
      <c r="AR4" s="4" t="str" cm="1">
        <f t="array" ref="AR4:BU4">TRANSPOSE(B6:B35)</f>
        <v>1A</v>
      </c>
      <c r="AS4" s="1" t="str">
        <v>1B</v>
      </c>
      <c r="AT4" s="1" t="str">
        <v>1C</v>
      </c>
      <c r="AU4" s="1" t="str">
        <v>1D</v>
      </c>
      <c r="AV4" s="1" t="str">
        <v>1E</v>
      </c>
      <c r="AW4" s="1" t="str">
        <v>1F</v>
      </c>
      <c r="AX4" s="1" t="str">
        <v>2A</v>
      </c>
      <c r="AY4" s="1" t="str">
        <v>2B</v>
      </c>
      <c r="AZ4" s="1" t="str">
        <v>2C</v>
      </c>
      <c r="BA4" s="1" t="str">
        <v>2D</v>
      </c>
      <c r="BB4" s="1" t="str">
        <v>2E</v>
      </c>
      <c r="BC4" s="1" t="str">
        <v>2F</v>
      </c>
      <c r="BD4" s="1" t="str">
        <v>3A</v>
      </c>
      <c r="BE4" s="1" t="str">
        <v>3B</v>
      </c>
      <c r="BF4" s="1" t="str">
        <v>3C</v>
      </c>
      <c r="BG4" s="1" t="str">
        <v>3D</v>
      </c>
      <c r="BH4" s="1" t="str">
        <v>3E</v>
      </c>
      <c r="BI4" s="1" t="str">
        <v>3F</v>
      </c>
      <c r="BJ4" s="1" t="str">
        <v>Safe 19</v>
      </c>
      <c r="BK4" s="1" t="str">
        <v>Safe 20</v>
      </c>
      <c r="BL4" s="1" t="str">
        <v>Safe 21</v>
      </c>
      <c r="BM4" s="1" t="str">
        <v>Safe 22</v>
      </c>
      <c r="BN4" s="1" t="str">
        <v>Safe 23</v>
      </c>
      <c r="BO4" s="1" t="str">
        <v>Safe 24</v>
      </c>
      <c r="BP4" s="1" t="str">
        <v>Safe 25</v>
      </c>
      <c r="BQ4" s="1" t="str">
        <v>Safe 26</v>
      </c>
      <c r="BR4" s="1" t="str">
        <v>Safe 27</v>
      </c>
      <c r="BS4" s="1" t="str">
        <v>Safe 28</v>
      </c>
      <c r="BT4" s="1" t="str">
        <v>Safe 29</v>
      </c>
      <c r="BU4" s="11" t="str">
        <v>Safe 30</v>
      </c>
    </row>
    <row r="5" spans="1:82" ht="78" thickBot="1" x14ac:dyDescent="0.5">
      <c r="B5" s="3" t="s">
        <v>2</v>
      </c>
      <c r="C5" s="3" t="s">
        <v>3</v>
      </c>
      <c r="D5" s="13" t="s">
        <v>55</v>
      </c>
      <c r="E5" s="7" t="s">
        <v>56</v>
      </c>
      <c r="F5" s="7" t="s">
        <v>57</v>
      </c>
      <c r="G5" s="7" t="s">
        <v>58</v>
      </c>
      <c r="H5" s="7" t="s">
        <v>59</v>
      </c>
      <c r="I5" s="7" t="s">
        <v>60</v>
      </c>
      <c r="J5" s="7" t="s">
        <v>50</v>
      </c>
      <c r="K5" s="7" t="s">
        <v>4</v>
      </c>
      <c r="L5" s="7" t="s">
        <v>5</v>
      </c>
      <c r="M5" s="7" t="s">
        <v>6</v>
      </c>
      <c r="N5" s="17" t="s">
        <v>7</v>
      </c>
      <c r="O5" s="18" t="s">
        <v>7</v>
      </c>
      <c r="P5" s="18" t="s">
        <v>7</v>
      </c>
      <c r="Q5" s="18" t="s">
        <v>7</v>
      </c>
      <c r="R5" s="18" t="s">
        <v>7</v>
      </c>
      <c r="S5" s="18" t="s">
        <v>7</v>
      </c>
      <c r="T5" s="18" t="s">
        <v>7</v>
      </c>
      <c r="U5" s="18" t="s">
        <v>7</v>
      </c>
      <c r="V5" s="18" t="s">
        <v>7</v>
      </c>
      <c r="W5" s="18" t="s">
        <v>7</v>
      </c>
      <c r="X5" s="18" t="s">
        <v>7</v>
      </c>
      <c r="Y5" s="18" t="s">
        <v>7</v>
      </c>
      <c r="Z5" s="18" t="s">
        <v>7</v>
      </c>
      <c r="AA5" s="18" t="s">
        <v>7</v>
      </c>
      <c r="AB5" s="18" t="s">
        <v>7</v>
      </c>
      <c r="AC5" s="18" t="s">
        <v>7</v>
      </c>
      <c r="AD5" s="18" t="s">
        <v>7</v>
      </c>
      <c r="AE5" s="18" t="s">
        <v>7</v>
      </c>
      <c r="AF5" s="18" t="s">
        <v>7</v>
      </c>
      <c r="AG5" s="18" t="s">
        <v>7</v>
      </c>
      <c r="AH5" s="18" t="s">
        <v>7</v>
      </c>
      <c r="AI5" s="18" t="s">
        <v>7</v>
      </c>
      <c r="AJ5" s="18" t="s">
        <v>7</v>
      </c>
      <c r="AK5" s="18" t="s">
        <v>7</v>
      </c>
      <c r="AL5" s="18" t="s">
        <v>7</v>
      </c>
      <c r="AM5" s="18" t="s">
        <v>7</v>
      </c>
      <c r="AN5" s="18" t="s">
        <v>7</v>
      </c>
      <c r="AO5" s="18" t="s">
        <v>7</v>
      </c>
      <c r="AP5" s="18" t="s">
        <v>7</v>
      </c>
      <c r="AQ5" s="19" t="s">
        <v>7</v>
      </c>
      <c r="AR5" s="23" t="s">
        <v>8</v>
      </c>
      <c r="AS5" s="24" t="s">
        <v>8</v>
      </c>
      <c r="AT5" s="24" t="s">
        <v>8</v>
      </c>
      <c r="AU5" s="24" t="s">
        <v>8</v>
      </c>
      <c r="AV5" s="24" t="s">
        <v>8</v>
      </c>
      <c r="AW5" s="24" t="s">
        <v>8</v>
      </c>
      <c r="AX5" s="24" t="s">
        <v>8</v>
      </c>
      <c r="AY5" s="24" t="s">
        <v>8</v>
      </c>
      <c r="AZ5" s="24" t="s">
        <v>8</v>
      </c>
      <c r="BA5" s="24" t="s">
        <v>8</v>
      </c>
      <c r="BB5" s="24" t="s">
        <v>8</v>
      </c>
      <c r="BC5" s="24" t="s">
        <v>8</v>
      </c>
      <c r="BD5" s="24" t="s">
        <v>8</v>
      </c>
      <c r="BE5" s="24" t="s">
        <v>8</v>
      </c>
      <c r="BF5" s="24" t="s">
        <v>8</v>
      </c>
      <c r="BG5" s="24" t="s">
        <v>8</v>
      </c>
      <c r="BH5" s="24" t="s">
        <v>8</v>
      </c>
      <c r="BI5" s="24" t="s">
        <v>8</v>
      </c>
      <c r="BJ5" s="24" t="s">
        <v>8</v>
      </c>
      <c r="BK5" s="24" t="s">
        <v>8</v>
      </c>
      <c r="BL5" s="24" t="s">
        <v>8</v>
      </c>
      <c r="BM5" s="24" t="s">
        <v>8</v>
      </c>
      <c r="BN5" s="24" t="s">
        <v>8</v>
      </c>
      <c r="BO5" s="24" t="s">
        <v>8</v>
      </c>
      <c r="BP5" s="24" t="s">
        <v>8</v>
      </c>
      <c r="BQ5" s="24" t="s">
        <v>8</v>
      </c>
      <c r="BR5" s="24" t="s">
        <v>8</v>
      </c>
      <c r="BS5" s="24" t="s">
        <v>8</v>
      </c>
      <c r="BT5" s="24" t="s">
        <v>8</v>
      </c>
      <c r="BU5" s="25" t="s">
        <v>8</v>
      </c>
      <c r="BV5" s="16" t="s">
        <v>9</v>
      </c>
      <c r="BW5" s="20" t="s">
        <v>7</v>
      </c>
      <c r="BX5" s="22" t="s">
        <v>10</v>
      </c>
      <c r="BY5" s="26" t="s">
        <v>11</v>
      </c>
      <c r="BZ5" s="1" t="s">
        <v>12</v>
      </c>
      <c r="CB5" t="s">
        <v>13</v>
      </c>
    </row>
    <row r="6" spans="1:82" ht="14.65" thickTop="1" x14ac:dyDescent="0.45">
      <c r="A6">
        <v>1</v>
      </c>
      <c r="B6" t="s">
        <v>32</v>
      </c>
      <c r="C6" s="27" t="s">
        <v>32</v>
      </c>
      <c r="D6" s="39"/>
      <c r="E6">
        <v>19</v>
      </c>
      <c r="F6">
        <v>11</v>
      </c>
      <c r="G6" s="39"/>
      <c r="H6" s="39"/>
      <c r="I6">
        <v>12</v>
      </c>
      <c r="N6" s="40"/>
      <c r="O6" s="38"/>
      <c r="P6">
        <v>6</v>
      </c>
      <c r="Q6" s="38"/>
      <c r="R6" s="38"/>
      <c r="S6" s="38"/>
      <c r="T6">
        <v>6</v>
      </c>
      <c r="U6">
        <v>4</v>
      </c>
      <c r="V6">
        <v>5</v>
      </c>
      <c r="W6">
        <v>5</v>
      </c>
      <c r="X6" s="38"/>
      <c r="Y6" s="38"/>
      <c r="Z6">
        <v>7</v>
      </c>
      <c r="AA6">
        <v>7</v>
      </c>
      <c r="AB6" s="38"/>
      <c r="AC6" s="38"/>
      <c r="AD6">
        <v>6</v>
      </c>
      <c r="AE6">
        <v>6</v>
      </c>
      <c r="AR6" s="41"/>
      <c r="AS6" s="42"/>
      <c r="AT6" s="43">
        <v>1</v>
      </c>
      <c r="AU6" s="42"/>
      <c r="AV6" s="42"/>
      <c r="AW6" s="42"/>
      <c r="AX6" s="43">
        <v>0</v>
      </c>
      <c r="AY6" s="43">
        <v>1</v>
      </c>
      <c r="AZ6" s="43">
        <v>0</v>
      </c>
      <c r="BA6" s="43">
        <v>0.5</v>
      </c>
      <c r="BB6" s="42"/>
      <c r="BC6" s="42"/>
      <c r="BD6" s="43">
        <v>1</v>
      </c>
      <c r="BE6" s="43">
        <v>0</v>
      </c>
      <c r="BF6" s="42"/>
      <c r="BG6" s="42"/>
      <c r="BH6" s="43">
        <v>1</v>
      </c>
      <c r="BI6" s="43">
        <v>1</v>
      </c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0">
        <f>IF((COUNTA(D6:M6)*'Global Values'!$B$2)=0,"",SUM(D6:M6)/(COUNTA(D6:M6)*'Global Values'!$B$2))</f>
        <v>0.56000000000000005</v>
      </c>
      <c r="BW6" s="36" cm="1">
        <f t="array" ref="BW6">IF('Global Values'!$B$3*COUNTA(N6:AQ6)=0,"",SUM(N6:AQ6/('Global Values'!$B$3*COUNTA(N6:AQ6))))</f>
        <v>0.57777777777777772</v>
      </c>
      <c r="BX6" s="36" cm="1">
        <f t="array" ref="BX6:BX35">TRANSPOSE(AR38:BU38)</f>
        <v>0.61111111111111116</v>
      </c>
      <c r="BY6" s="36">
        <f>IF(COUNTA(AR6:BU6)=0,"",(1-SUM(AR6:BU6)/COUNTA(AR6:BU6)))</f>
        <v>0.38888888888888884</v>
      </c>
      <c r="BZ6" s="31">
        <f>IF((SUM(BV6:BY6))&gt;0,100*((BV6*'Global Values'!$B$5+BW6*'Global Values'!$B$6+Tracker!BX6*'Global Values'!$B$7+Tracker!BY6*'Global Values'!$B$8)),"")</f>
        <v>55.922222222222231</v>
      </c>
      <c r="CA6">
        <f t="shared" ref="CA6:CA26" si="0">RANK(BZ6,BZ$6:BZ$26,0)</f>
        <v>11</v>
      </c>
    </row>
    <row r="7" spans="1:82" x14ac:dyDescent="0.45">
      <c r="A7">
        <v>2</v>
      </c>
      <c r="B7" t="s">
        <v>33</v>
      </c>
      <c r="C7" s="27" t="s">
        <v>33</v>
      </c>
      <c r="D7">
        <v>15</v>
      </c>
      <c r="E7" s="39"/>
      <c r="F7" s="39"/>
      <c r="G7" s="39"/>
      <c r="H7">
        <v>18</v>
      </c>
      <c r="I7">
        <v>17</v>
      </c>
      <c r="N7" s="37"/>
      <c r="O7" s="15"/>
      <c r="P7" s="38"/>
      <c r="Q7" s="38"/>
      <c r="R7">
        <v>7</v>
      </c>
      <c r="S7" s="38"/>
      <c r="T7" s="38"/>
      <c r="U7">
        <v>3</v>
      </c>
      <c r="V7">
        <v>6</v>
      </c>
      <c r="W7">
        <v>6</v>
      </c>
      <c r="X7">
        <v>8</v>
      </c>
      <c r="Y7" s="38"/>
      <c r="Z7">
        <v>9</v>
      </c>
      <c r="AA7">
        <v>9</v>
      </c>
      <c r="AB7" s="38"/>
      <c r="AC7" s="38"/>
      <c r="AD7">
        <v>9</v>
      </c>
      <c r="AE7">
        <v>8</v>
      </c>
      <c r="AR7" s="44"/>
      <c r="AS7" s="45"/>
      <c r="AT7" s="42"/>
      <c r="AU7" s="42"/>
      <c r="AV7" s="43">
        <v>0.5</v>
      </c>
      <c r="AW7" s="42"/>
      <c r="AX7" s="42"/>
      <c r="AY7" s="43">
        <v>0</v>
      </c>
      <c r="AZ7" s="43">
        <v>1</v>
      </c>
      <c r="BA7" s="43">
        <v>0</v>
      </c>
      <c r="BB7" s="43">
        <v>0</v>
      </c>
      <c r="BC7" s="42"/>
      <c r="BD7" s="43">
        <v>1</v>
      </c>
      <c r="BE7" s="43">
        <v>0</v>
      </c>
      <c r="BF7" s="42"/>
      <c r="BG7" s="42"/>
      <c r="BH7" s="43">
        <v>0.5</v>
      </c>
      <c r="BI7" s="43">
        <v>0</v>
      </c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0">
        <f>IF((COUNTA(D7:M7)*'Global Values'!$B$2)=0,"",SUM(D7:M7)/(COUNTA(D7:M7)*'Global Values'!$B$2))</f>
        <v>0.66666666666666663</v>
      </c>
      <c r="BW7" s="36" cm="1">
        <f t="array" ref="BW7">IF('Global Values'!$B$3*COUNTA(N7:AQ7)=0,"",SUM(N7:AQ7/('Global Values'!$B$3*COUNTA(N7:AQ7))))</f>
        <v>0.72222222222222221</v>
      </c>
      <c r="BX7" s="36">
        <v>0.72222222222222221</v>
      </c>
      <c r="BY7" s="36">
        <f t="shared" ref="BY7:BY35" si="1">IF(COUNTA(AR7:BU7)=0,"",(1-SUM(AR7:BU7)/COUNTA(AR7:BU7)))</f>
        <v>0.66666666666666674</v>
      </c>
      <c r="BZ7" s="31">
        <f>IF((SUM(BV7:BY7))&gt;0,100*((BV7*'Global Values'!$B$5+BW7*'Global Values'!$B$6+Tracker!BX7*'Global Values'!$B$7+Tracker!BY7*'Global Values'!$B$8)),"")</f>
        <v>69.166666666666671</v>
      </c>
      <c r="CA7">
        <f t="shared" si="0"/>
        <v>6</v>
      </c>
    </row>
    <row r="8" spans="1:82" x14ac:dyDescent="0.45">
      <c r="A8">
        <v>3</v>
      </c>
      <c r="B8" t="s">
        <v>34</v>
      </c>
      <c r="C8" s="27" t="s">
        <v>34</v>
      </c>
      <c r="D8">
        <v>17</v>
      </c>
      <c r="E8">
        <v>14</v>
      </c>
      <c r="F8">
        <v>15</v>
      </c>
      <c r="G8" s="39"/>
      <c r="H8" s="39"/>
      <c r="I8" s="39"/>
      <c r="N8" s="2">
        <v>6</v>
      </c>
      <c r="O8" s="38"/>
      <c r="P8" s="15"/>
      <c r="Q8" s="38"/>
      <c r="R8" s="38"/>
      <c r="S8" s="38"/>
      <c r="T8" s="38"/>
      <c r="U8" s="38"/>
      <c r="V8">
        <v>6</v>
      </c>
      <c r="W8">
        <v>7</v>
      </c>
      <c r="X8">
        <v>7</v>
      </c>
      <c r="Y8">
        <v>7</v>
      </c>
      <c r="Z8">
        <v>6</v>
      </c>
      <c r="AA8">
        <v>6.5</v>
      </c>
      <c r="AB8">
        <v>8</v>
      </c>
      <c r="AC8">
        <v>6</v>
      </c>
      <c r="AD8" s="38"/>
      <c r="AE8" s="38"/>
      <c r="AR8" s="46">
        <v>0.5</v>
      </c>
      <c r="AS8" s="42"/>
      <c r="AT8" s="45"/>
      <c r="AU8" s="42"/>
      <c r="AV8" s="42"/>
      <c r="AW8" s="42"/>
      <c r="AX8" s="42"/>
      <c r="AY8" s="42"/>
      <c r="AZ8" s="43">
        <v>0.5</v>
      </c>
      <c r="BA8" s="43">
        <v>0</v>
      </c>
      <c r="BB8" s="43">
        <v>0</v>
      </c>
      <c r="BC8" s="43">
        <v>1</v>
      </c>
      <c r="BD8" s="43">
        <v>1</v>
      </c>
      <c r="BE8" s="43">
        <v>1</v>
      </c>
      <c r="BF8" s="43">
        <v>0</v>
      </c>
      <c r="BG8" s="43">
        <v>1</v>
      </c>
      <c r="BH8" s="42"/>
      <c r="BI8" s="4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0">
        <f>IF((COUNTA(D8:M8)*'Global Values'!$B$2)=0,"",SUM(D8:M8)/(COUNTA(D8:M8)*'Global Values'!$B$2))</f>
        <v>0.61333333333333329</v>
      </c>
      <c r="BW8" s="36" cm="1">
        <f t="array" ref="BW8">IF('Global Values'!$B$3*COUNTA(N8:AQ8)=0,"",SUM(N8:AQ8/('Global Values'!$B$3*COUNTA(N8:AQ8))))</f>
        <v>0.66111111111111109</v>
      </c>
      <c r="BX8" s="36">
        <v>0.44444444444444442</v>
      </c>
      <c r="BY8" s="36">
        <f t="shared" si="1"/>
        <v>0.44444444444444442</v>
      </c>
      <c r="BZ8" s="31">
        <f>IF((SUM(BV8:BY8))&gt;0,100*((BV8*'Global Values'!$B$5+BW8*'Global Values'!$B$6+Tracker!BX8*'Global Values'!$B$7+Tracker!BY8*'Global Values'!$B$8)),"")</f>
        <v>56.377777777777759</v>
      </c>
      <c r="CA8">
        <f t="shared" si="0"/>
        <v>10</v>
      </c>
    </row>
    <row r="9" spans="1:82" x14ac:dyDescent="0.45">
      <c r="A9">
        <v>4</v>
      </c>
      <c r="B9" t="s">
        <v>35</v>
      </c>
      <c r="C9" s="27" t="s">
        <v>35</v>
      </c>
      <c r="D9" s="39"/>
      <c r="E9">
        <v>24</v>
      </c>
      <c r="F9">
        <v>18</v>
      </c>
      <c r="G9">
        <v>15</v>
      </c>
      <c r="H9" s="39"/>
      <c r="I9" s="39"/>
      <c r="N9" s="37"/>
      <c r="O9" s="38"/>
      <c r="P9" s="38"/>
      <c r="Q9" s="15"/>
      <c r="R9" s="38"/>
      <c r="S9">
        <v>8</v>
      </c>
      <c r="T9">
        <v>7</v>
      </c>
      <c r="U9" s="38"/>
      <c r="V9" s="38"/>
      <c r="W9">
        <v>9</v>
      </c>
      <c r="X9">
        <v>6</v>
      </c>
      <c r="Y9" s="47">
        <v>7</v>
      </c>
      <c r="Z9">
        <v>6</v>
      </c>
      <c r="AA9">
        <v>7</v>
      </c>
      <c r="AB9">
        <v>5</v>
      </c>
      <c r="AC9">
        <v>7</v>
      </c>
      <c r="AD9" s="38"/>
      <c r="AE9" s="38"/>
      <c r="AR9" s="44"/>
      <c r="AS9" s="42"/>
      <c r="AT9" s="42"/>
      <c r="AU9" s="45"/>
      <c r="AV9" s="42"/>
      <c r="AW9" s="43">
        <v>0.5</v>
      </c>
      <c r="AX9" s="43">
        <v>0.5</v>
      </c>
      <c r="AY9" s="42"/>
      <c r="AZ9" s="42"/>
      <c r="BA9" s="43">
        <v>0.5</v>
      </c>
      <c r="BB9" s="43">
        <v>0</v>
      </c>
      <c r="BC9" s="48">
        <v>0.5</v>
      </c>
      <c r="BD9" s="43">
        <v>1</v>
      </c>
      <c r="BE9" s="43">
        <v>0</v>
      </c>
      <c r="BF9" s="43">
        <v>0.5</v>
      </c>
      <c r="BG9" s="43">
        <v>0.5</v>
      </c>
      <c r="BH9" s="42"/>
      <c r="BI9" s="4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0">
        <f>IF((COUNTA(D9:M9)*'Global Values'!$B$2)=0,"",SUM(D9:M9)/(COUNTA(D9:M9)*'Global Values'!$B$2))</f>
        <v>0.76</v>
      </c>
      <c r="BW9" s="36" cm="1">
        <f t="array" ref="BW9">IF('Global Values'!$B$3*COUNTA(N9:AQ9)=0,"",SUM(N9:AQ9/('Global Values'!$B$3*COUNTA(N9:AQ9))))</f>
        <v>0.68888888888888888</v>
      </c>
      <c r="BX9" s="36">
        <v>0.88888888888888884</v>
      </c>
      <c r="BY9" s="36">
        <f t="shared" si="1"/>
        <v>0.55555555555555558</v>
      </c>
      <c r="BZ9" s="31">
        <f>IF((SUM(BV9:BY9))&gt;0,100*((BV9*'Global Values'!$B$5+BW9*'Global Values'!$B$6+Tracker!BX9*'Global Values'!$B$7+Tracker!BY9*'Global Values'!$B$8)),"")</f>
        <v>75.75555555555556</v>
      </c>
      <c r="CA9">
        <f t="shared" si="0"/>
        <v>3</v>
      </c>
    </row>
    <row r="10" spans="1:82" x14ac:dyDescent="0.45">
      <c r="A10">
        <v>5</v>
      </c>
      <c r="B10" t="s">
        <v>36</v>
      </c>
      <c r="C10" s="27" t="s">
        <v>36</v>
      </c>
      <c r="D10" s="39"/>
      <c r="E10" s="39"/>
      <c r="F10" s="39"/>
      <c r="G10">
        <v>24</v>
      </c>
      <c r="H10">
        <v>18</v>
      </c>
      <c r="I10">
        <v>19</v>
      </c>
      <c r="N10" s="37"/>
      <c r="O10">
        <v>7</v>
      </c>
      <c r="P10" s="38"/>
      <c r="Q10" s="38"/>
      <c r="R10" s="15"/>
      <c r="S10" s="38"/>
      <c r="T10">
        <v>8</v>
      </c>
      <c r="U10">
        <v>7</v>
      </c>
      <c r="V10" s="38"/>
      <c r="W10" s="38"/>
      <c r="X10">
        <v>8</v>
      </c>
      <c r="Y10">
        <v>8</v>
      </c>
      <c r="Z10" s="38"/>
      <c r="AA10" s="38"/>
      <c r="AB10">
        <v>10</v>
      </c>
      <c r="AC10">
        <v>10</v>
      </c>
      <c r="AD10">
        <v>10</v>
      </c>
      <c r="AE10">
        <v>9</v>
      </c>
      <c r="AR10" s="44"/>
      <c r="AS10" s="43">
        <v>1</v>
      </c>
      <c r="AT10" s="42"/>
      <c r="AU10" s="42"/>
      <c r="AV10" s="45"/>
      <c r="AW10" s="42"/>
      <c r="AX10" s="43">
        <v>1</v>
      </c>
      <c r="AY10" s="43">
        <v>0</v>
      </c>
      <c r="AZ10" s="42"/>
      <c r="BA10" s="42"/>
      <c r="BB10" s="43">
        <v>0.5</v>
      </c>
      <c r="BC10" s="43">
        <v>0</v>
      </c>
      <c r="BD10" s="42"/>
      <c r="BE10" s="42"/>
      <c r="BF10" s="43">
        <v>1</v>
      </c>
      <c r="BG10" s="43">
        <v>0</v>
      </c>
      <c r="BH10" s="43">
        <v>1</v>
      </c>
      <c r="BI10" s="43">
        <v>0</v>
      </c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0">
        <f>IF((COUNTA(D10:M10)*'Global Values'!$B$2)=0,"",SUM(D10:M10)/(COUNTA(D10:M10)*'Global Values'!$B$2))</f>
        <v>0.81333333333333335</v>
      </c>
      <c r="BW10" s="36" cm="1">
        <f t="array" ref="BW10">IF('Global Values'!$B$3*COUNTA(N10:AQ10)=0,"",SUM(N10:AQ10/('Global Values'!$B$3*COUNTA(N10:AQ10))))</f>
        <v>0.85555555555555574</v>
      </c>
      <c r="BX10" s="36">
        <v>0.83333333333333337</v>
      </c>
      <c r="BY10" s="36">
        <f t="shared" si="1"/>
        <v>0.5</v>
      </c>
      <c r="BZ10" s="31">
        <f>IF((SUM(BV10:BY10))&gt;0,100*((BV10*'Global Values'!$B$5+BW10*'Global Values'!$B$6+Tracker!BX10*'Global Values'!$B$7+Tracker!BY10*'Global Values'!$B$8)),"")</f>
        <v>79.544444444444451</v>
      </c>
      <c r="CA10">
        <f t="shared" si="0"/>
        <v>1</v>
      </c>
      <c r="CD10" t="s">
        <v>53</v>
      </c>
    </row>
    <row r="11" spans="1:82" x14ac:dyDescent="0.45">
      <c r="A11">
        <v>6</v>
      </c>
      <c r="B11" t="s">
        <v>37</v>
      </c>
      <c r="C11" s="27" t="s">
        <v>37</v>
      </c>
      <c r="D11">
        <v>11</v>
      </c>
      <c r="E11" s="39"/>
      <c r="F11" s="39"/>
      <c r="G11">
        <v>15</v>
      </c>
      <c r="H11">
        <v>16</v>
      </c>
      <c r="I11" s="39"/>
      <c r="N11" s="37"/>
      <c r="O11" s="38"/>
      <c r="P11" s="38"/>
      <c r="Q11">
        <v>4</v>
      </c>
      <c r="R11" s="38"/>
      <c r="S11" s="15"/>
      <c r="T11">
        <v>7</v>
      </c>
      <c r="U11">
        <v>6</v>
      </c>
      <c r="V11" s="47">
        <v>6</v>
      </c>
      <c r="W11" s="38"/>
      <c r="X11" s="38"/>
      <c r="Y11">
        <v>5</v>
      </c>
      <c r="Z11" s="38"/>
      <c r="AA11" s="38"/>
      <c r="AB11">
        <v>6</v>
      </c>
      <c r="AC11">
        <v>6</v>
      </c>
      <c r="AD11">
        <v>5</v>
      </c>
      <c r="AE11">
        <v>7</v>
      </c>
      <c r="AR11" s="44"/>
      <c r="AS11" s="42"/>
      <c r="AT11" s="42"/>
      <c r="AU11" s="43">
        <v>1</v>
      </c>
      <c r="AV11" s="42"/>
      <c r="AW11" s="45"/>
      <c r="AX11" s="43">
        <v>1</v>
      </c>
      <c r="AY11" s="43">
        <v>1</v>
      </c>
      <c r="AZ11" s="48">
        <v>0.5</v>
      </c>
      <c r="BA11" s="42"/>
      <c r="BB11" s="42"/>
      <c r="BC11" s="43">
        <v>1</v>
      </c>
      <c r="BD11" s="42"/>
      <c r="BE11" s="42"/>
      <c r="BF11" s="43">
        <v>0.5</v>
      </c>
      <c r="BG11" s="43">
        <v>1</v>
      </c>
      <c r="BH11" s="43">
        <v>1</v>
      </c>
      <c r="BI11" s="43">
        <v>0</v>
      </c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0">
        <f>IF((COUNTA(D11:M11)*'Global Values'!$B$2)=0,"",SUM(D11:M11)/(COUNTA(D11:M11)*'Global Values'!$B$2))</f>
        <v>0.56000000000000005</v>
      </c>
      <c r="BW11" s="36" cm="1">
        <f t="array" ref="BW11">IF('Global Values'!$B$3*COUNTA(N11:AQ11)=0,"",SUM(N11:AQ11/('Global Values'!$B$3*COUNTA(N11:AQ11))))</f>
        <v>0.57777777777777772</v>
      </c>
      <c r="BX11" s="36">
        <v>0.5</v>
      </c>
      <c r="BY11" s="36">
        <f t="shared" si="1"/>
        <v>0.22222222222222221</v>
      </c>
      <c r="BZ11" s="31">
        <f>IF((SUM(BV11:BY11))&gt;0,100*((BV11*'Global Values'!$B$5+BW11*'Global Values'!$B$6+Tracker!BX11*'Global Values'!$B$7+Tracker!BY11*'Global Values'!$B$8)),"")</f>
        <v>51.477777777777789</v>
      </c>
      <c r="CA11">
        <f t="shared" si="0"/>
        <v>14</v>
      </c>
      <c r="CD11" t="s">
        <v>54</v>
      </c>
    </row>
    <row r="12" spans="1:82" x14ac:dyDescent="0.45">
      <c r="A12">
        <v>7</v>
      </c>
      <c r="B12" t="s">
        <v>38</v>
      </c>
      <c r="C12" s="28" t="s">
        <v>38</v>
      </c>
      <c r="D12" s="39"/>
      <c r="E12">
        <v>19</v>
      </c>
      <c r="F12" s="39"/>
      <c r="G12" s="39"/>
      <c r="H12">
        <v>20</v>
      </c>
      <c r="I12">
        <v>24</v>
      </c>
      <c r="N12" s="2">
        <v>6</v>
      </c>
      <c r="O12">
        <v>6</v>
      </c>
      <c r="P12">
        <v>6</v>
      </c>
      <c r="Q12">
        <v>6</v>
      </c>
      <c r="R12" s="38"/>
      <c r="S12" s="38"/>
      <c r="T12" s="15"/>
      <c r="U12" s="38"/>
      <c r="V12" s="38"/>
      <c r="W12">
        <v>7</v>
      </c>
      <c r="X12" s="38"/>
      <c r="Y12" s="38"/>
      <c r="Z12">
        <v>5</v>
      </c>
      <c r="AA12">
        <v>8</v>
      </c>
      <c r="AB12">
        <v>7</v>
      </c>
      <c r="AC12">
        <v>7</v>
      </c>
      <c r="AD12" s="38"/>
      <c r="AE12" s="38"/>
      <c r="AR12" s="46">
        <v>1</v>
      </c>
      <c r="AS12" s="43">
        <v>1</v>
      </c>
      <c r="AT12" s="43">
        <v>1</v>
      </c>
      <c r="AU12" s="43">
        <v>1</v>
      </c>
      <c r="AV12" s="42"/>
      <c r="AW12" s="42"/>
      <c r="AX12" s="45"/>
      <c r="AY12" s="42"/>
      <c r="AZ12" s="42"/>
      <c r="BA12" s="43">
        <v>0.5</v>
      </c>
      <c r="BB12" s="42"/>
      <c r="BC12" s="42"/>
      <c r="BD12" s="43">
        <v>0.5</v>
      </c>
      <c r="BE12" s="43">
        <v>1</v>
      </c>
      <c r="BF12" s="43">
        <v>1</v>
      </c>
      <c r="BG12" s="43">
        <v>1</v>
      </c>
      <c r="BH12" s="42"/>
      <c r="BI12" s="4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0">
        <f>IF((COUNTA(D12:M12)*'Global Values'!$B$2)=0,"",SUM(D12:M12)/(COUNTA(D12:M12)*'Global Values'!$B$2))</f>
        <v>0.84</v>
      </c>
      <c r="BW12" s="36" cm="1">
        <f t="array" ref="BW12">IF('Global Values'!$B$3*COUNTA(N12:AQ12)=0,"",SUM(N12:AQ12/('Global Values'!$B$3*COUNTA(N12:AQ12))))</f>
        <v>0.64444444444444438</v>
      </c>
      <c r="BX12" s="36">
        <v>0.5</v>
      </c>
      <c r="BY12" s="36">
        <f t="shared" si="1"/>
        <v>0.11111111111111116</v>
      </c>
      <c r="BZ12" s="31">
        <f>IF((SUM(BV12:BY12))&gt;0,100*((BV12*'Global Values'!$B$5+BW12*'Global Values'!$B$6+Tracker!BX12*'Global Values'!$B$7+Tracker!BY12*'Global Values'!$B$8)),"")</f>
        <v>64.3</v>
      </c>
      <c r="CA12">
        <f t="shared" si="0"/>
        <v>7</v>
      </c>
      <c r="CD12" t="s">
        <v>51</v>
      </c>
    </row>
    <row r="13" spans="1:82" x14ac:dyDescent="0.45">
      <c r="A13">
        <v>8</v>
      </c>
      <c r="B13" t="s">
        <v>39</v>
      </c>
      <c r="C13" s="28" t="s">
        <v>39</v>
      </c>
      <c r="D13">
        <v>13</v>
      </c>
      <c r="E13" s="39"/>
      <c r="F13">
        <v>19</v>
      </c>
      <c r="G13">
        <v>19</v>
      </c>
      <c r="H13" s="39"/>
      <c r="I13" s="39"/>
      <c r="N13" s="2">
        <v>4</v>
      </c>
      <c r="O13">
        <v>6</v>
      </c>
      <c r="P13">
        <v>9</v>
      </c>
      <c r="Q13">
        <v>9</v>
      </c>
      <c r="R13" s="38"/>
      <c r="S13" s="38"/>
      <c r="T13" s="38"/>
      <c r="U13" s="15"/>
      <c r="V13" s="38"/>
      <c r="W13" s="38"/>
      <c r="X13" s="38"/>
      <c r="Y13">
        <v>7</v>
      </c>
      <c r="Z13" s="38"/>
      <c r="AA13">
        <v>7.5</v>
      </c>
      <c r="AB13">
        <v>8</v>
      </c>
      <c r="AC13">
        <v>8</v>
      </c>
      <c r="AD13">
        <v>8</v>
      </c>
      <c r="AE13" s="38"/>
      <c r="AR13" s="46">
        <v>0</v>
      </c>
      <c r="AS13" s="43">
        <v>0.5</v>
      </c>
      <c r="AT13" s="43">
        <v>0</v>
      </c>
      <c r="AU13" s="43">
        <v>0.5</v>
      </c>
      <c r="AV13" s="42"/>
      <c r="AW13" s="42"/>
      <c r="AX13" s="42"/>
      <c r="AY13" s="45"/>
      <c r="AZ13" s="42"/>
      <c r="BA13" s="42"/>
      <c r="BB13" s="42"/>
      <c r="BC13" s="43">
        <v>0</v>
      </c>
      <c r="BD13" s="42"/>
      <c r="BE13" s="43">
        <v>0</v>
      </c>
      <c r="BF13" s="43">
        <v>1</v>
      </c>
      <c r="BG13" s="43">
        <v>0</v>
      </c>
      <c r="BH13" s="43">
        <v>0.5</v>
      </c>
      <c r="BI13" s="4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0">
        <f>IF((COUNTA(D13:M13)*'Global Values'!$B$2)=0,"",SUM(D13:M13)/(COUNTA(D13:M13)*'Global Values'!$B$2))</f>
        <v>0.68</v>
      </c>
      <c r="BW13" s="36" cm="1">
        <f t="array" ref="BW13">IF('Global Values'!$B$3*COUNTA(N13:AQ13)=0,"",SUM(N13:AQ13/('Global Values'!$B$3*COUNTA(N13:AQ13))))</f>
        <v>0.73888888888888893</v>
      </c>
      <c r="BX13" s="36">
        <v>0.66666666666666663</v>
      </c>
      <c r="BY13" s="36">
        <f t="shared" si="1"/>
        <v>0.72222222222222221</v>
      </c>
      <c r="BZ13" s="31">
        <f>IF((SUM(BV13:BY13))&gt;0,100*((BV13*'Global Values'!$B$5+BW13*'Global Values'!$B$6+Tracker!BX13*'Global Values'!$B$7+Tracker!BY13*'Global Values'!$B$8)),"")</f>
        <v>69.266666666666666</v>
      </c>
      <c r="CA13">
        <f t="shared" si="0"/>
        <v>5</v>
      </c>
    </row>
    <row r="14" spans="1:82" x14ac:dyDescent="0.45">
      <c r="A14">
        <v>9</v>
      </c>
      <c r="B14" t="s">
        <v>40</v>
      </c>
      <c r="C14" s="28" t="s">
        <v>40</v>
      </c>
      <c r="D14">
        <v>5</v>
      </c>
      <c r="E14">
        <v>9</v>
      </c>
      <c r="F14" s="39"/>
      <c r="G14" s="39"/>
      <c r="H14" s="39"/>
      <c r="I14">
        <v>10</v>
      </c>
      <c r="N14" s="37"/>
      <c r="O14" s="38"/>
      <c r="P14">
        <v>6</v>
      </c>
      <c r="Q14">
        <v>8</v>
      </c>
      <c r="R14">
        <v>7</v>
      </c>
      <c r="S14">
        <v>7</v>
      </c>
      <c r="T14" s="38"/>
      <c r="U14" s="38"/>
      <c r="V14" s="15"/>
      <c r="W14" s="38"/>
      <c r="X14">
        <v>7</v>
      </c>
      <c r="Y14" s="38"/>
      <c r="Z14" s="38"/>
      <c r="AA14" s="38"/>
      <c r="AB14">
        <v>5</v>
      </c>
      <c r="AC14">
        <v>5</v>
      </c>
      <c r="AD14">
        <v>9</v>
      </c>
      <c r="AE14">
        <v>8</v>
      </c>
      <c r="AR14" s="44"/>
      <c r="AS14" s="42"/>
      <c r="AT14" s="43">
        <v>1</v>
      </c>
      <c r="AU14" s="43">
        <v>1</v>
      </c>
      <c r="AV14" s="43">
        <v>1</v>
      </c>
      <c r="AW14" s="43">
        <v>1</v>
      </c>
      <c r="AX14" s="42"/>
      <c r="AY14" s="42"/>
      <c r="AZ14" s="45"/>
      <c r="BA14" s="42"/>
      <c r="BB14" s="43">
        <v>0.5</v>
      </c>
      <c r="BC14" s="42"/>
      <c r="BD14" s="42"/>
      <c r="BE14" s="42"/>
      <c r="BF14" s="43">
        <v>1</v>
      </c>
      <c r="BG14" s="43">
        <v>0.5</v>
      </c>
      <c r="BH14" s="43">
        <v>1</v>
      </c>
      <c r="BI14" s="43">
        <v>1</v>
      </c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0">
        <f>IF((COUNTA(D14:M14)*'Global Values'!$B$2)=0,"",SUM(D14:M14)/(COUNTA(D14:M14)*'Global Values'!$B$2))</f>
        <v>0.32</v>
      </c>
      <c r="BW14" s="36" cm="1">
        <f t="array" ref="BW14">IF('Global Values'!$B$3*COUNTA(N14:AQ14)=0,"",SUM(N14:AQ14/('Global Values'!$B$3*COUNTA(N14:AQ14))))</f>
        <v>0.68888888888888888</v>
      </c>
      <c r="BX14" s="36">
        <v>0.3888888888888889</v>
      </c>
      <c r="BY14" s="36">
        <f t="shared" si="1"/>
        <v>0.11111111111111116</v>
      </c>
      <c r="BZ14" s="31">
        <f>IF((SUM(BV14:BY14))&gt;0,100*((BV14*'Global Values'!$B$5+BW14*'Global Values'!$B$6+Tracker!BX14*'Global Values'!$B$7+Tracker!BY14*'Global Values'!$B$8)),"")</f>
        <v>39.011111111111113</v>
      </c>
      <c r="CA14">
        <f t="shared" si="0"/>
        <v>17</v>
      </c>
      <c r="CD14" t="s">
        <v>52</v>
      </c>
    </row>
    <row r="15" spans="1:82" x14ac:dyDescent="0.45">
      <c r="A15">
        <v>10</v>
      </c>
      <c r="B15" t="s">
        <v>41</v>
      </c>
      <c r="C15" s="28" t="s">
        <v>41</v>
      </c>
      <c r="D15" s="39"/>
      <c r="E15" s="39"/>
      <c r="F15">
        <v>14</v>
      </c>
      <c r="G15" s="39"/>
      <c r="H15">
        <v>11</v>
      </c>
      <c r="I15">
        <v>13</v>
      </c>
      <c r="N15" s="37"/>
      <c r="O15" s="38"/>
      <c r="P15">
        <v>6</v>
      </c>
      <c r="Q15">
        <v>7</v>
      </c>
      <c r="R15">
        <v>8</v>
      </c>
      <c r="S15">
        <v>6</v>
      </c>
      <c r="T15">
        <v>5</v>
      </c>
      <c r="U15" s="38"/>
      <c r="V15" s="38"/>
      <c r="W15" s="15"/>
      <c r="X15" s="38"/>
      <c r="Y15" s="38"/>
      <c r="Z15">
        <v>6</v>
      </c>
      <c r="AA15" s="38"/>
      <c r="AB15" s="38"/>
      <c r="AC15">
        <v>6</v>
      </c>
      <c r="AD15">
        <v>6</v>
      </c>
      <c r="AE15">
        <v>7</v>
      </c>
      <c r="AR15" s="44"/>
      <c r="AS15" s="42"/>
      <c r="AT15" s="43">
        <v>1</v>
      </c>
      <c r="AU15" s="43">
        <v>1</v>
      </c>
      <c r="AV15" s="43">
        <v>1</v>
      </c>
      <c r="AW15" s="43">
        <v>0.5</v>
      </c>
      <c r="AX15" s="43">
        <v>0</v>
      </c>
      <c r="AY15" s="42"/>
      <c r="AZ15" s="42"/>
      <c r="BA15" s="45"/>
      <c r="BB15" s="42"/>
      <c r="BC15" s="42"/>
      <c r="BD15" s="43">
        <v>0.5</v>
      </c>
      <c r="BE15" s="42"/>
      <c r="BF15" s="42"/>
      <c r="BG15" s="43">
        <v>1</v>
      </c>
      <c r="BH15" s="43">
        <v>0</v>
      </c>
      <c r="BI15" s="43">
        <v>0</v>
      </c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0">
        <f>IF((COUNTA(D15:M15)*'Global Values'!$B$2)=0,"",SUM(D15:M15)/(COUNTA(D15:M15)*'Global Values'!$B$2))</f>
        <v>0.50666666666666671</v>
      </c>
      <c r="BW15" s="36" cm="1">
        <f t="array" ref="BW15">IF('Global Values'!$B$3*COUNTA(N15:AQ15)=0,"",SUM(N15:AQ15/('Global Values'!$B$3*COUNTA(N15:AQ15))))</f>
        <v>0.6333333333333333</v>
      </c>
      <c r="BX15" s="36">
        <v>0.33333333333333331</v>
      </c>
      <c r="BY15" s="36">
        <f t="shared" si="1"/>
        <v>0.44444444444444442</v>
      </c>
      <c r="BZ15" s="31">
        <f>IF((SUM(BV15:BY15))&gt;0,100*((BV15*'Global Values'!$B$5+BW15*'Global Values'!$B$6+Tracker!BX15*'Global Values'!$B$7+Tracker!BY15*'Global Values'!$B$8)),"")</f>
        <v>48.244444444444447</v>
      </c>
      <c r="CA15">
        <f t="shared" si="0"/>
        <v>16</v>
      </c>
    </row>
    <row r="16" spans="1:82" x14ac:dyDescent="0.45">
      <c r="A16">
        <v>11</v>
      </c>
      <c r="B16" t="s">
        <v>42</v>
      </c>
      <c r="C16" s="28" t="s">
        <v>42</v>
      </c>
      <c r="D16">
        <v>21</v>
      </c>
      <c r="E16">
        <v>12</v>
      </c>
      <c r="F16" s="39"/>
      <c r="G16">
        <v>14</v>
      </c>
      <c r="H16" s="39"/>
      <c r="I16" s="39"/>
      <c r="N16" s="2">
        <v>5</v>
      </c>
      <c r="O16">
        <v>6</v>
      </c>
      <c r="P16" s="38"/>
      <c r="Q16" s="38"/>
      <c r="R16">
        <v>8</v>
      </c>
      <c r="S16">
        <v>4</v>
      </c>
      <c r="T16" s="38"/>
      <c r="U16" s="38"/>
      <c r="V16">
        <v>8</v>
      </c>
      <c r="W16" s="38"/>
      <c r="X16" s="15"/>
      <c r="Y16" s="38"/>
      <c r="Z16">
        <v>9</v>
      </c>
      <c r="AA16">
        <v>4</v>
      </c>
      <c r="AB16" s="38"/>
      <c r="AC16" s="38"/>
      <c r="AD16">
        <v>4</v>
      </c>
      <c r="AE16">
        <v>6</v>
      </c>
      <c r="AR16" s="46">
        <v>1</v>
      </c>
      <c r="AS16" s="43">
        <v>1</v>
      </c>
      <c r="AT16" s="42"/>
      <c r="AU16" s="42"/>
      <c r="AV16" s="43">
        <v>0.5</v>
      </c>
      <c r="AW16" s="43">
        <v>0</v>
      </c>
      <c r="AX16" s="42"/>
      <c r="AY16" s="42"/>
      <c r="AZ16" s="43">
        <v>0</v>
      </c>
      <c r="BA16" s="42"/>
      <c r="BB16" s="45"/>
      <c r="BC16" s="42"/>
      <c r="BD16" s="43">
        <v>0</v>
      </c>
      <c r="BE16" s="43">
        <v>0</v>
      </c>
      <c r="BF16" s="42"/>
      <c r="BG16" s="42"/>
      <c r="BH16" s="43">
        <v>0</v>
      </c>
      <c r="BI16" s="43">
        <v>0</v>
      </c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0">
        <f>IF((COUNTA(D16:M16)*'Global Values'!$B$2)=0,"",SUM(D16:M16)/(COUNTA(D16:M16)*'Global Values'!$B$2))</f>
        <v>0.62666666666666671</v>
      </c>
      <c r="BW16" s="36" cm="1">
        <f t="array" ref="BW16">IF('Global Values'!$B$3*COUNTA(N16:AQ16)=0,"",SUM(N16:AQ16/('Global Values'!$B$3*COUNTA(N16:AQ16))))</f>
        <v>0.6</v>
      </c>
      <c r="BX16" s="36">
        <v>0.33333333333333331</v>
      </c>
      <c r="BY16" s="36">
        <f t="shared" si="1"/>
        <v>0.72222222222222221</v>
      </c>
      <c r="BZ16" s="31">
        <f>IF((SUM(BV16:BY16))&gt;0,100*((BV16*'Global Values'!$B$5+BW16*'Global Values'!$B$6+Tracker!BX16*'Global Values'!$B$7+Tracker!BY16*'Global Values'!$B$8)),"")</f>
        <v>55.75555555555556</v>
      </c>
      <c r="CA16">
        <f t="shared" si="0"/>
        <v>12</v>
      </c>
    </row>
    <row r="17" spans="1:79" x14ac:dyDescent="0.45">
      <c r="A17">
        <v>12</v>
      </c>
      <c r="B17" t="s">
        <v>43</v>
      </c>
      <c r="C17" s="28" t="s">
        <v>43</v>
      </c>
      <c r="D17" s="39"/>
      <c r="E17" s="39"/>
      <c r="F17">
        <v>17</v>
      </c>
      <c r="G17">
        <v>17</v>
      </c>
      <c r="H17">
        <v>16</v>
      </c>
      <c r="I17" s="39"/>
      <c r="N17" s="2">
        <v>5</v>
      </c>
      <c r="O17">
        <v>5</v>
      </c>
      <c r="P17" s="38"/>
      <c r="Q17" s="38"/>
      <c r="R17">
        <v>6</v>
      </c>
      <c r="S17">
        <v>6</v>
      </c>
      <c r="T17" s="38"/>
      <c r="U17">
        <v>7</v>
      </c>
      <c r="V17" s="38"/>
      <c r="W17" s="38"/>
      <c r="X17" s="38"/>
      <c r="Y17" s="15"/>
      <c r="Z17">
        <v>6</v>
      </c>
      <c r="AA17">
        <v>7.5</v>
      </c>
      <c r="AB17">
        <v>6</v>
      </c>
      <c r="AC17" s="38"/>
      <c r="AD17" s="38"/>
      <c r="AE17">
        <v>6</v>
      </c>
      <c r="AR17" s="46">
        <v>1</v>
      </c>
      <c r="AS17" s="43">
        <v>1</v>
      </c>
      <c r="AT17" s="42"/>
      <c r="AU17" s="42"/>
      <c r="AV17" s="43">
        <v>1</v>
      </c>
      <c r="AW17" s="43">
        <v>1</v>
      </c>
      <c r="AX17" s="42"/>
      <c r="AY17" s="43">
        <v>1</v>
      </c>
      <c r="AZ17" s="42"/>
      <c r="BA17" s="42"/>
      <c r="BB17" s="42"/>
      <c r="BC17" s="45"/>
      <c r="BD17" s="43">
        <v>0.5</v>
      </c>
      <c r="BE17" s="43">
        <v>1</v>
      </c>
      <c r="BF17" s="43">
        <v>1</v>
      </c>
      <c r="BG17" s="42"/>
      <c r="BH17" s="42"/>
      <c r="BI17" s="43">
        <v>0</v>
      </c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0">
        <f>IF((COUNTA(D17:M17)*'Global Values'!$B$2)=0,"",SUM(D17:M17)/(COUNTA(D17:M17)*'Global Values'!$B$2))</f>
        <v>0.66666666666666663</v>
      </c>
      <c r="BW17" s="36" cm="1">
        <f t="array" ref="BW17">IF('Global Values'!$B$3*COUNTA(N17:AQ17)=0,"",SUM(N17:AQ17/('Global Values'!$B$3*COUNTA(N17:AQ17))))</f>
        <v>0.60555555555555551</v>
      </c>
      <c r="BX17" s="36">
        <v>0.27777777777777779</v>
      </c>
      <c r="BY17" s="36">
        <f t="shared" si="1"/>
        <v>0.16666666666666663</v>
      </c>
      <c r="BZ17" s="31">
        <f>IF((SUM(BV17:BY17))&gt;0,100*((BV17*'Global Values'!$B$5+BW17*'Global Values'!$B$6+Tracker!BX17*'Global Values'!$B$7+Tracker!BY17*'Global Values'!$B$8)),"")</f>
        <v>50.722222222222221</v>
      </c>
      <c r="CA17">
        <f t="shared" si="0"/>
        <v>15</v>
      </c>
    </row>
    <row r="18" spans="1:79" x14ac:dyDescent="0.45">
      <c r="A18">
        <v>13</v>
      </c>
      <c r="B18" t="s">
        <v>44</v>
      </c>
      <c r="C18" s="29" t="s">
        <v>44</v>
      </c>
      <c r="D18">
        <v>21</v>
      </c>
      <c r="E18" s="39"/>
      <c r="F18" s="39"/>
      <c r="G18">
        <v>22</v>
      </c>
      <c r="H18" s="39"/>
      <c r="I18">
        <v>20</v>
      </c>
      <c r="N18" s="2">
        <v>7</v>
      </c>
      <c r="O18">
        <v>7</v>
      </c>
      <c r="P18">
        <v>8</v>
      </c>
      <c r="Q18">
        <v>8</v>
      </c>
      <c r="R18" s="38"/>
      <c r="S18" s="38"/>
      <c r="T18">
        <v>8</v>
      </c>
      <c r="U18" s="38"/>
      <c r="V18" s="38"/>
      <c r="W18" s="47">
        <v>7</v>
      </c>
      <c r="X18">
        <v>8</v>
      </c>
      <c r="Y18">
        <v>8</v>
      </c>
      <c r="Z18" s="15"/>
      <c r="AA18" s="38"/>
      <c r="AB18" s="38"/>
      <c r="AC18" s="38"/>
      <c r="AD18">
        <v>7</v>
      </c>
      <c r="AE18" s="38"/>
      <c r="AR18" s="46">
        <v>0</v>
      </c>
      <c r="AS18" s="43">
        <v>0</v>
      </c>
      <c r="AT18" s="43">
        <v>0</v>
      </c>
      <c r="AU18" s="43">
        <v>1</v>
      </c>
      <c r="AV18" s="42"/>
      <c r="AW18" s="42"/>
      <c r="AX18" s="43">
        <v>0</v>
      </c>
      <c r="AY18" s="42"/>
      <c r="AZ18" s="42"/>
      <c r="BA18" s="48">
        <v>0.5</v>
      </c>
      <c r="BB18" s="43">
        <v>0.5</v>
      </c>
      <c r="BC18" s="43">
        <v>0</v>
      </c>
      <c r="BD18" s="45"/>
      <c r="BE18" s="42"/>
      <c r="BF18" s="42"/>
      <c r="BG18" s="42"/>
      <c r="BH18" s="43">
        <v>0.5</v>
      </c>
      <c r="BI18" s="4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0">
        <f>IF((COUNTA(D18:M18)*'Global Values'!$B$2)=0,"",SUM(D18:M18)/(COUNTA(D18:M18)*'Global Values'!$B$2))</f>
        <v>0.84</v>
      </c>
      <c r="BW18" s="36" cm="1">
        <f t="array" ref="BW18">IF('Global Values'!$B$3*COUNTA(N18:AQ18)=0,"",SUM(N18:AQ18/('Global Values'!$B$3*COUNTA(N18:AQ18))))</f>
        <v>0.75555555555555554</v>
      </c>
      <c r="BX18" s="36">
        <v>0.72222222222222221</v>
      </c>
      <c r="BY18" s="36">
        <f t="shared" si="1"/>
        <v>0.72222222222222221</v>
      </c>
      <c r="BZ18" s="31">
        <f>IF((SUM(BV18:BY18))&gt;0,100*((BV18*'Global Values'!$B$5+BW18*'Global Values'!$B$6+Tracker!BX18*'Global Values'!$B$7+Tracker!BY18*'Global Values'!$B$8)),"")</f>
        <v>78.188888888888883</v>
      </c>
      <c r="CA18">
        <f t="shared" si="0"/>
        <v>2</v>
      </c>
    </row>
    <row r="19" spans="1:79" x14ac:dyDescent="0.45">
      <c r="A19">
        <v>14</v>
      </c>
      <c r="B19" t="s">
        <v>45</v>
      </c>
      <c r="C19" s="29" t="s">
        <v>45</v>
      </c>
      <c r="D19" s="39"/>
      <c r="E19">
        <v>5</v>
      </c>
      <c r="F19">
        <v>11</v>
      </c>
      <c r="G19" s="39"/>
      <c r="H19">
        <v>11</v>
      </c>
      <c r="I19" s="39"/>
      <c r="N19" s="2">
        <v>3</v>
      </c>
      <c r="O19">
        <v>2</v>
      </c>
      <c r="P19">
        <v>6</v>
      </c>
      <c r="Q19">
        <v>6</v>
      </c>
      <c r="R19" s="38"/>
      <c r="S19" s="38"/>
      <c r="T19">
        <v>3</v>
      </c>
      <c r="U19">
        <v>6</v>
      </c>
      <c r="V19" s="38"/>
      <c r="W19" s="38"/>
      <c r="X19">
        <v>6</v>
      </c>
      <c r="Y19">
        <v>4</v>
      </c>
      <c r="Z19" s="38"/>
      <c r="AA19" s="15"/>
      <c r="AB19" s="38"/>
      <c r="AC19" s="38"/>
      <c r="AD19" s="38"/>
      <c r="AE19">
        <v>6</v>
      </c>
      <c r="AR19" s="46">
        <v>0.5</v>
      </c>
      <c r="AS19" s="43">
        <v>0.5</v>
      </c>
      <c r="AT19" s="43">
        <v>0</v>
      </c>
      <c r="AU19" s="43">
        <v>1</v>
      </c>
      <c r="AV19" s="42"/>
      <c r="AW19" s="42"/>
      <c r="AX19" s="43">
        <v>0.5</v>
      </c>
      <c r="AY19" s="43">
        <v>1</v>
      </c>
      <c r="AZ19" s="42"/>
      <c r="BA19" s="42"/>
      <c r="BB19" s="43">
        <v>1</v>
      </c>
      <c r="BC19" s="43">
        <v>0</v>
      </c>
      <c r="BD19" s="42"/>
      <c r="BE19" s="45"/>
      <c r="BF19" s="42"/>
      <c r="BG19" s="42"/>
      <c r="BH19" s="42"/>
      <c r="BI19" s="43">
        <v>0</v>
      </c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0">
        <f>IF((COUNTA(D19:M19)*'Global Values'!$B$2)=0,"",SUM(D19:M19)/(COUNTA(D19:M19)*'Global Values'!$B$2))</f>
        <v>0.36</v>
      </c>
      <c r="BW19" s="36" cm="1">
        <f t="array" ref="BW19">IF('Global Values'!$B$3*COUNTA(N19:AQ19)=0,"",SUM(N19:AQ19/('Global Values'!$B$3*COUNTA(N19:AQ19))))</f>
        <v>0.46666666666666662</v>
      </c>
      <c r="BX19" s="36">
        <v>0.33333333333333331</v>
      </c>
      <c r="BY19" s="36">
        <f t="shared" si="1"/>
        <v>0.5</v>
      </c>
      <c r="BZ19" s="31">
        <f>IF((SUM(BV19:BY19))&gt;0,100*((BV19*'Global Values'!$B$5+BW19*'Global Values'!$B$6+Tracker!BX19*'Global Values'!$B$7+Tracker!BY19*'Global Values'!$B$8)),"")</f>
        <v>38.86666666666666</v>
      </c>
      <c r="CA19">
        <f t="shared" si="0"/>
        <v>18</v>
      </c>
    </row>
    <row r="20" spans="1:79" x14ac:dyDescent="0.45">
      <c r="A20">
        <v>15</v>
      </c>
      <c r="B20" t="s">
        <v>46</v>
      </c>
      <c r="C20" s="29" t="s">
        <v>46</v>
      </c>
      <c r="D20" s="39"/>
      <c r="E20" s="39"/>
      <c r="F20" s="39"/>
      <c r="G20">
        <v>17</v>
      </c>
      <c r="H20">
        <v>16</v>
      </c>
      <c r="I20">
        <v>12</v>
      </c>
      <c r="N20" s="37"/>
      <c r="O20" s="38"/>
      <c r="P20">
        <v>6</v>
      </c>
      <c r="Q20">
        <v>5</v>
      </c>
      <c r="R20">
        <v>6</v>
      </c>
      <c r="S20">
        <v>9</v>
      </c>
      <c r="T20">
        <v>6</v>
      </c>
      <c r="U20">
        <v>7</v>
      </c>
      <c r="V20">
        <v>6</v>
      </c>
      <c r="W20" s="38"/>
      <c r="X20" s="38"/>
      <c r="Y20">
        <v>4</v>
      </c>
      <c r="Z20" s="38"/>
      <c r="AA20" s="38"/>
      <c r="AB20" s="15"/>
      <c r="AC20">
        <v>6</v>
      </c>
      <c r="AD20" s="38"/>
      <c r="AE20" s="38"/>
      <c r="AR20" s="44"/>
      <c r="AS20" s="42"/>
      <c r="AT20" s="43">
        <v>0</v>
      </c>
      <c r="AU20" s="43">
        <v>1</v>
      </c>
      <c r="AV20" s="43">
        <v>1</v>
      </c>
      <c r="AW20" s="43">
        <v>1</v>
      </c>
      <c r="AX20" s="43">
        <v>1</v>
      </c>
      <c r="AY20" s="43">
        <v>0</v>
      </c>
      <c r="AZ20" s="43">
        <v>0</v>
      </c>
      <c r="BA20" s="42"/>
      <c r="BB20" s="42"/>
      <c r="BC20" s="43">
        <v>0</v>
      </c>
      <c r="BD20" s="42"/>
      <c r="BE20" s="42"/>
      <c r="BF20" s="45"/>
      <c r="BG20" s="43">
        <v>0</v>
      </c>
      <c r="BH20" s="42"/>
      <c r="BI20" s="4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0">
        <f>IF((COUNTA(D20:M20)*'Global Values'!$B$2)=0,"",SUM(D20:M20)/(COUNTA(D20:M20)*'Global Values'!$B$2))</f>
        <v>0.6</v>
      </c>
      <c r="BW20" s="36" cm="1">
        <f t="array" ref="BW20">IF('Global Values'!$B$3*COUNTA(N20:AQ20)=0,"",SUM(N20:AQ20/('Global Values'!$B$3*COUNTA(N20:AQ20))))</f>
        <v>0.61111111111111105</v>
      </c>
      <c r="BX20" s="36">
        <v>0.77777777777777779</v>
      </c>
      <c r="BY20" s="36">
        <f t="shared" si="1"/>
        <v>0.55555555555555558</v>
      </c>
      <c r="BZ20" s="31">
        <f>IF((SUM(BV20:BY20))&gt;0,100*((BV20*'Global Values'!$B$5+BW20*'Global Values'!$B$6+Tracker!BX20*'Global Values'!$B$7+Tracker!BY20*'Global Values'!$B$8)),"")</f>
        <v>64.222222222222229</v>
      </c>
      <c r="CA20">
        <f t="shared" si="0"/>
        <v>8</v>
      </c>
    </row>
    <row r="21" spans="1:79" x14ac:dyDescent="0.45">
      <c r="A21">
        <v>16</v>
      </c>
      <c r="B21" t="s">
        <v>47</v>
      </c>
      <c r="C21" s="29" t="s">
        <v>47</v>
      </c>
      <c r="D21">
        <v>10</v>
      </c>
      <c r="E21">
        <v>16</v>
      </c>
      <c r="F21" s="39"/>
      <c r="G21" s="39"/>
      <c r="H21" s="39"/>
      <c r="I21">
        <v>17</v>
      </c>
      <c r="N21" s="37"/>
      <c r="O21" s="38"/>
      <c r="P21">
        <v>5</v>
      </c>
      <c r="Q21">
        <v>4</v>
      </c>
      <c r="R21">
        <v>5</v>
      </c>
      <c r="S21">
        <v>3</v>
      </c>
      <c r="T21">
        <v>5</v>
      </c>
      <c r="U21">
        <v>3</v>
      </c>
      <c r="V21">
        <v>6</v>
      </c>
      <c r="W21">
        <v>7</v>
      </c>
      <c r="X21" s="38"/>
      <c r="Y21" s="38"/>
      <c r="Z21" s="38"/>
      <c r="AA21" s="38"/>
      <c r="AB21">
        <v>6</v>
      </c>
      <c r="AC21" s="15"/>
      <c r="AD21" s="38"/>
      <c r="AE21" s="38"/>
      <c r="AR21" s="44"/>
      <c r="AS21" s="42"/>
      <c r="AT21" s="43">
        <v>0</v>
      </c>
      <c r="AU21" s="43">
        <v>0.5</v>
      </c>
      <c r="AV21" s="43">
        <v>1</v>
      </c>
      <c r="AW21" s="43">
        <v>0.5</v>
      </c>
      <c r="AX21" s="43">
        <v>0.5</v>
      </c>
      <c r="AY21" s="43">
        <v>1</v>
      </c>
      <c r="AZ21" s="43">
        <v>1</v>
      </c>
      <c r="BA21" s="43">
        <v>0</v>
      </c>
      <c r="BB21" s="42"/>
      <c r="BC21" s="42"/>
      <c r="BD21" s="42"/>
      <c r="BE21" s="42"/>
      <c r="BF21" s="43">
        <v>1</v>
      </c>
      <c r="BG21" s="45"/>
      <c r="BH21" s="42"/>
      <c r="BI21" s="4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0">
        <f>IF((COUNTA(D21:M21)*'Global Values'!$B$2)=0,"",SUM(D21:M21)/(COUNTA(D21:M21)*'Global Values'!$B$2))</f>
        <v>0.57333333333333336</v>
      </c>
      <c r="BW21" s="36" cm="1">
        <f t="array" ref="BW21">IF('Global Values'!$B$3*COUNTA(N21:AQ21)=0,"",SUM(N21:AQ21/('Global Values'!$B$3*COUNTA(N21:AQ21))))</f>
        <v>0.48888888888888887</v>
      </c>
      <c r="BX21" s="36">
        <v>0.55555555555555558</v>
      </c>
      <c r="BY21" s="36">
        <f t="shared" si="1"/>
        <v>0.38888888888888884</v>
      </c>
      <c r="BZ21" s="31">
        <f>IF((SUM(BV21:BY21))&gt;0,100*((BV21*'Global Values'!$B$5+BW21*'Global Values'!$B$6+Tracker!BX21*'Global Values'!$B$7+Tracker!BY21*'Global Values'!$B$8)),"")</f>
        <v>53.355555555555554</v>
      </c>
      <c r="CA21">
        <f t="shared" si="0"/>
        <v>13</v>
      </c>
    </row>
    <row r="22" spans="1:79" x14ac:dyDescent="0.45">
      <c r="A22">
        <v>17</v>
      </c>
      <c r="B22" t="s">
        <v>48</v>
      </c>
      <c r="C22" s="29" t="s">
        <v>48</v>
      </c>
      <c r="D22">
        <v>17</v>
      </c>
      <c r="E22">
        <v>16</v>
      </c>
      <c r="F22">
        <v>16</v>
      </c>
      <c r="G22" s="39"/>
      <c r="H22" s="39"/>
      <c r="I22" s="39"/>
      <c r="N22" s="2">
        <v>4</v>
      </c>
      <c r="O22">
        <v>5</v>
      </c>
      <c r="P22" s="38"/>
      <c r="Q22" s="38"/>
      <c r="R22">
        <v>7</v>
      </c>
      <c r="S22">
        <v>5</v>
      </c>
      <c r="T22" s="38"/>
      <c r="U22">
        <v>8</v>
      </c>
      <c r="V22">
        <v>9</v>
      </c>
      <c r="W22">
        <v>8</v>
      </c>
      <c r="X22">
        <v>7</v>
      </c>
      <c r="Y22" s="38"/>
      <c r="Z22">
        <v>6</v>
      </c>
      <c r="AA22" s="38"/>
      <c r="AB22" s="38"/>
      <c r="AC22" s="38"/>
      <c r="AD22" s="15"/>
      <c r="AE22" s="38"/>
      <c r="AR22" s="46">
        <v>1</v>
      </c>
      <c r="AS22" s="43">
        <v>1</v>
      </c>
      <c r="AT22" s="42"/>
      <c r="AU22" s="42"/>
      <c r="AV22" s="43">
        <v>1</v>
      </c>
      <c r="AW22" s="43">
        <v>0</v>
      </c>
      <c r="AX22" s="42"/>
      <c r="AY22" s="43">
        <v>1</v>
      </c>
      <c r="AZ22" s="43">
        <v>0.5</v>
      </c>
      <c r="BA22" s="43">
        <v>1</v>
      </c>
      <c r="BB22" s="43">
        <v>0.5</v>
      </c>
      <c r="BC22" s="42"/>
      <c r="BD22" s="43">
        <v>1</v>
      </c>
      <c r="BE22" s="42"/>
      <c r="BF22" s="42"/>
      <c r="BG22" s="42"/>
      <c r="BH22" s="45"/>
      <c r="BI22" s="4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0">
        <f>IF((COUNTA(D22:M22)*'Global Values'!$B$2)=0,"",SUM(D22:M22)/(COUNTA(D22:M22)*'Global Values'!$B$2))</f>
        <v>0.65333333333333332</v>
      </c>
      <c r="BW22" s="36" cm="1">
        <f t="array" ref="BW22">IF('Global Values'!$B$3*COUNTA(N22:AQ22)=0,"",SUM(N22:AQ22/('Global Values'!$B$3*COUNTA(N22:AQ22))))</f>
        <v>0.65555555555555567</v>
      </c>
      <c r="BX22" s="36">
        <v>0.61111111111111116</v>
      </c>
      <c r="BY22" s="36">
        <f t="shared" si="1"/>
        <v>0.22222222222222221</v>
      </c>
      <c r="BZ22" s="31">
        <f>IF((SUM(BV22:BY22))&gt;0,100*((BV22*'Global Values'!$B$5+BW22*'Global Values'!$B$6+Tracker!BX22*'Global Values'!$B$7+Tracker!BY22*'Global Values'!$B$8)),"")</f>
        <v>60.011111111111113</v>
      </c>
      <c r="CA22">
        <f t="shared" si="0"/>
        <v>9</v>
      </c>
    </row>
    <row r="23" spans="1:79" x14ac:dyDescent="0.45">
      <c r="A23">
        <v>18</v>
      </c>
      <c r="B23" t="s">
        <v>49</v>
      </c>
      <c r="C23" s="29" t="s">
        <v>49</v>
      </c>
      <c r="D23" s="39"/>
      <c r="E23" s="39"/>
      <c r="F23">
        <v>24</v>
      </c>
      <c r="G23">
        <v>25</v>
      </c>
      <c r="H23">
        <v>21</v>
      </c>
      <c r="I23" s="39"/>
      <c r="N23" s="2">
        <v>10</v>
      </c>
      <c r="O23">
        <v>8</v>
      </c>
      <c r="P23" s="38"/>
      <c r="Q23" s="38"/>
      <c r="R23">
        <v>10</v>
      </c>
      <c r="S23">
        <v>9</v>
      </c>
      <c r="T23" s="38"/>
      <c r="U23" s="38"/>
      <c r="V23">
        <v>7</v>
      </c>
      <c r="W23">
        <v>10</v>
      </c>
      <c r="X23">
        <v>10</v>
      </c>
      <c r="Y23">
        <v>5</v>
      </c>
      <c r="Z23" s="38"/>
      <c r="AA23" s="43">
        <v>9.5</v>
      </c>
      <c r="AB23" s="38"/>
      <c r="AC23" s="38"/>
      <c r="AD23" s="38"/>
      <c r="AE23" s="15"/>
      <c r="AR23" s="46">
        <v>0.5</v>
      </c>
      <c r="AS23" s="43">
        <v>0.5</v>
      </c>
      <c r="AT23" s="42"/>
      <c r="AU23" s="42"/>
      <c r="AV23" s="43">
        <v>0.5</v>
      </c>
      <c r="AW23" s="43">
        <v>0</v>
      </c>
      <c r="AX23" s="42"/>
      <c r="AY23" s="42"/>
      <c r="AZ23" s="43">
        <v>0</v>
      </c>
      <c r="BA23" s="43">
        <v>0</v>
      </c>
      <c r="BB23" s="43">
        <v>0</v>
      </c>
      <c r="BC23" s="43">
        <v>0</v>
      </c>
      <c r="BD23" s="42"/>
      <c r="BE23" s="43">
        <v>0</v>
      </c>
      <c r="BF23" s="42"/>
      <c r="BG23" s="42"/>
      <c r="BH23" s="42"/>
      <c r="BI23" s="45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0">
        <f>IF((COUNTA(D23:M23)*'Global Values'!$B$2)=0,"",SUM(D23:M23)/(COUNTA(D23:M23)*'Global Values'!$B$2))</f>
        <v>0.93333333333333335</v>
      </c>
      <c r="BW23" s="36" cm="1">
        <f t="array" ref="BW23">IF('Global Values'!$B$3*COUNTA(N23:AQ23)=0,"",SUM(N23:AQ23/('Global Values'!$B$3*COUNTA(N23:AQ23))))</f>
        <v>0.87222222222222212</v>
      </c>
      <c r="BX23" s="36">
        <v>0.22222222222222221</v>
      </c>
      <c r="BY23" s="36">
        <f t="shared" si="1"/>
        <v>0.83333333333333337</v>
      </c>
      <c r="BZ23" s="31">
        <f>IF((SUM(BV23:BY23))&gt;0,100*((BV23*'Global Values'!$B$5+BW23*'Global Values'!$B$6+Tracker!BX23*'Global Values'!$B$7+Tracker!BY23*'Global Values'!$B$8)),"")</f>
        <v>73.333333333333343</v>
      </c>
      <c r="CA23">
        <f t="shared" si="0"/>
        <v>4</v>
      </c>
    </row>
    <row r="24" spans="1:79" x14ac:dyDescent="0.45">
      <c r="A24">
        <v>19</v>
      </c>
      <c r="B24" t="s">
        <v>29</v>
      </c>
      <c r="N24" s="2"/>
      <c r="AF24" s="15"/>
      <c r="AR24" s="35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0" t="str">
        <f>IF((COUNTA(D24:M24)*'Global Values'!$B$2)=0,"",SUM(D24:M24)/(COUNTA(D24:M24)*'Global Values'!$B$2))</f>
        <v/>
      </c>
      <c r="BW24" s="36" t="str" cm="1">
        <f t="array" ref="BW24">IF('Global Values'!$B$3*COUNTA(N24:AQ24)=0,"",SUM(N24:AQ24/('Global Values'!$B$3*COUNTA(N24:AQ24))))</f>
        <v/>
      </c>
      <c r="BX24" s="36" t="str">
        <v/>
      </c>
      <c r="BY24" s="36" t="str">
        <f t="shared" si="1"/>
        <v/>
      </c>
      <c r="BZ24" s="31" t="str">
        <f>IF((SUM(BV24:BY24))&gt;0,100*((BV24*'Global Values'!$B$5+BW24*'Global Values'!$B$6+Tracker!BX24*'Global Values'!$B$7+Tracker!BY24*'Global Values'!$B$8)),"")</f>
        <v/>
      </c>
      <c r="CA24" t="e">
        <f t="shared" si="0"/>
        <v>#VALUE!</v>
      </c>
    </row>
    <row r="25" spans="1:79" x14ac:dyDescent="0.45">
      <c r="A25">
        <v>20</v>
      </c>
      <c r="B25" t="s">
        <v>30</v>
      </c>
      <c r="N25" s="2"/>
      <c r="AG25" s="15"/>
      <c r="AR25" s="35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0" t="str">
        <f>IF((COUNTA(D25:M25)*'Global Values'!$B$2)=0,"",SUM(D25:M25)/(COUNTA(D25:M25)*'Global Values'!$B$2))</f>
        <v/>
      </c>
      <c r="BW25" s="36" t="str" cm="1">
        <f t="array" ref="BW25">IF('Global Values'!$B$3*COUNTA(N25:AQ25)=0,"",SUM(N25:AQ25/('Global Values'!$B$3*COUNTA(N25:AQ25))))</f>
        <v/>
      </c>
      <c r="BX25" s="36" t="str">
        <v/>
      </c>
      <c r="BY25" s="36" t="str">
        <f t="shared" si="1"/>
        <v/>
      </c>
      <c r="BZ25" s="31" t="str">
        <f>IF((SUM(BV25:BY25))&gt;0,100*((BV25*'Global Values'!$B$5+BW25*'Global Values'!$B$6+Tracker!BX25*'Global Values'!$B$7+Tracker!BY25*'Global Values'!$B$8)),"")</f>
        <v/>
      </c>
      <c r="CA25" t="e">
        <f t="shared" si="0"/>
        <v>#VALUE!</v>
      </c>
    </row>
    <row r="26" spans="1:79" x14ac:dyDescent="0.45">
      <c r="A26">
        <v>21</v>
      </c>
      <c r="B26" t="s">
        <v>31</v>
      </c>
      <c r="N26" s="2"/>
      <c r="AH26" s="15"/>
      <c r="AR26" s="35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0" t="str">
        <f>IF((COUNTA(D26:M26)*'Global Values'!$B$2)=0,"",SUM(D26:M26)/(COUNTA(D26:M26)*'Global Values'!$B$2))</f>
        <v/>
      </c>
      <c r="BW26" s="36" t="str" cm="1">
        <f t="array" ref="BW26">IF('Global Values'!$B$3*COUNTA(N26:AQ26)=0,"",SUM(N26:AQ26/('Global Values'!$B$3*COUNTA(N26:AQ26))))</f>
        <v/>
      </c>
      <c r="BX26" s="36" t="str">
        <v/>
      </c>
      <c r="BY26" s="36" t="str">
        <f t="shared" si="1"/>
        <v/>
      </c>
      <c r="BZ26" s="31" t="str">
        <f>IF((SUM(BV26:BY26))&gt;0,100*((BV26*'Global Values'!$B$5+BW26*'Global Values'!$B$6+Tracker!BX26*'Global Values'!$B$7+Tracker!BY26*'Global Values'!$B$8)),"")</f>
        <v/>
      </c>
      <c r="CA26" t="e">
        <f t="shared" si="0"/>
        <v>#VALUE!</v>
      </c>
    </row>
    <row r="27" spans="1:79" x14ac:dyDescent="0.45">
      <c r="A27">
        <v>22</v>
      </c>
      <c r="B27" t="s">
        <v>14</v>
      </c>
      <c r="N27" s="2"/>
      <c r="AI27" s="15"/>
      <c r="AR27" s="35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4"/>
      <c r="BN27" s="32"/>
      <c r="BO27" s="32"/>
      <c r="BP27" s="32"/>
      <c r="BQ27" s="32"/>
      <c r="BR27" s="32"/>
      <c r="BS27" s="32"/>
      <c r="BT27" s="32"/>
      <c r="BU27" s="32"/>
      <c r="BV27" s="6" t="str">
        <f>IF((COUNTA(D27:M27)*'Global Values'!$B$2)=0,"",SUM(D27:M27)/(COUNTA(D27:M27)*'Global Values'!$B$2))</f>
        <v/>
      </c>
      <c r="BW27" s="8" t="str" cm="1">
        <f t="array" ref="BW27">IF('Global Values'!$B$3*COUNTA(N27:AQ27)=0,"",SUM(N27:AQ27/('Global Values'!$B$3*COUNTA(N27:AQ27))))</f>
        <v/>
      </c>
      <c r="BX27" s="8" t="str">
        <v/>
      </c>
      <c r="BY27" s="8" t="str">
        <f t="shared" si="1"/>
        <v/>
      </c>
      <c r="BZ27" s="14" t="str">
        <f>IF((SUM(BV27:BY27))&gt;0,100*((BV27*'Global Values'!$B$5+BW27*'Global Values'!$B$6+Tracker!BX27*'Global Values'!$B$7+Tracker!BY27*'Global Values'!$B$8)),"")</f>
        <v/>
      </c>
    </row>
    <row r="28" spans="1:79" x14ac:dyDescent="0.45">
      <c r="A28">
        <v>23</v>
      </c>
      <c r="B28" t="s">
        <v>15</v>
      </c>
      <c r="N28" s="2"/>
      <c r="AJ28" s="15"/>
      <c r="AK28">
        <v>10</v>
      </c>
      <c r="AL28">
        <v>10</v>
      </c>
      <c r="AR28" s="35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4"/>
      <c r="BO28" s="32">
        <v>0</v>
      </c>
      <c r="BP28" s="32">
        <v>0</v>
      </c>
      <c r="BQ28" s="32"/>
      <c r="BR28" s="32"/>
      <c r="BS28" s="32"/>
      <c r="BT28" s="32"/>
      <c r="BU28" s="33"/>
      <c r="BV28" s="6" t="str">
        <f>IF((COUNTA(D28:M28)*'Global Values'!$B$2)=0,"",SUM(D28:M28)/(COUNTA(D28:M28)*'Global Values'!$B$2))</f>
        <v/>
      </c>
      <c r="BW28" s="8" cm="1">
        <f t="array" ref="BW28">IF('Global Values'!$B$3*COUNTA(N28:AQ28)=0,"",SUM(N28:AQ28/('Global Values'!$B$3*COUNTA(N28:AQ28))))</f>
        <v>1</v>
      </c>
      <c r="BX28" s="8">
        <v>1</v>
      </c>
      <c r="BY28" s="8">
        <f t="shared" si="1"/>
        <v>1</v>
      </c>
      <c r="BZ28" s="14" t="e">
        <f>IF((SUM(BV28:BY28))&gt;0,100*((BV28*'Global Values'!$B$5+BW28*'Global Values'!$B$6+Tracker!BX28*'Global Values'!$B$7+Tracker!BY28*'Global Values'!$B$8)),"")</f>
        <v>#VALUE!</v>
      </c>
    </row>
    <row r="29" spans="1:79" x14ac:dyDescent="0.45">
      <c r="A29">
        <v>24</v>
      </c>
      <c r="B29" t="s">
        <v>16</v>
      </c>
      <c r="N29" s="2"/>
      <c r="AJ29">
        <v>5</v>
      </c>
      <c r="AK29" s="15"/>
      <c r="AL29">
        <v>5</v>
      </c>
      <c r="AR29" s="35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>
        <v>1</v>
      </c>
      <c r="BO29" s="34"/>
      <c r="BP29" s="32">
        <v>0</v>
      </c>
      <c r="BQ29" s="32"/>
      <c r="BR29" s="32"/>
      <c r="BS29" s="32"/>
      <c r="BT29" s="32"/>
      <c r="BU29" s="33"/>
      <c r="BV29" s="6" t="str">
        <f>IF((COUNTA(D29:M29)*'Global Values'!$B$2)=0,"",SUM(D29:M29)/(COUNTA(D29:M29)*'Global Values'!$B$2))</f>
        <v/>
      </c>
      <c r="BW29" s="8" cm="1">
        <f t="array" ref="BW29">IF('Global Values'!$B$3*COUNTA(N29:AQ29)=0,"",SUM(N29:AQ29/('Global Values'!$B$3*COUNTA(N29:AQ29))))</f>
        <v>0.5</v>
      </c>
      <c r="BX29" s="8">
        <v>0.5</v>
      </c>
      <c r="BY29" s="8">
        <f t="shared" si="1"/>
        <v>0.5</v>
      </c>
      <c r="BZ29" s="14" t="e">
        <f>IF((SUM(BV29:BY29))&gt;0,100*((BV29*'Global Values'!$B$5+BW29*'Global Values'!$B$6+Tracker!BX29*'Global Values'!$B$7+Tracker!BY29*'Global Values'!$B$8)),"")</f>
        <v>#VALUE!</v>
      </c>
    </row>
    <row r="30" spans="1:79" x14ac:dyDescent="0.45">
      <c r="A30">
        <v>25</v>
      </c>
      <c r="B30" t="s">
        <v>17</v>
      </c>
      <c r="N30" s="2"/>
      <c r="AJ30">
        <v>1</v>
      </c>
      <c r="AK30">
        <v>0.5</v>
      </c>
      <c r="AL30" s="15"/>
      <c r="AR30" s="35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>
        <v>1</v>
      </c>
      <c r="BO30" s="32">
        <v>1</v>
      </c>
      <c r="BP30" s="34"/>
      <c r="BQ30" s="32"/>
      <c r="BR30" s="32"/>
      <c r="BS30" s="32"/>
      <c r="BT30" s="32"/>
      <c r="BU30" s="33"/>
      <c r="BV30" s="6" t="str">
        <f>IF((COUNTA(D30:M30)*'Global Values'!$B$2)=0,"",SUM(D30:M30)/(COUNTA(D30:M30)*'Global Values'!$B$2))</f>
        <v/>
      </c>
      <c r="BW30" s="8" cm="1">
        <f t="array" ref="BW30">IF('Global Values'!$B$3*COUNTA(N30:AQ30)=0,"",SUM(N30:AQ30/('Global Values'!$B$3*COUNTA(N30:AQ30))))</f>
        <v>7.5000000000000011E-2</v>
      </c>
      <c r="BX30" s="8">
        <v>0</v>
      </c>
      <c r="BY30" s="8">
        <f t="shared" si="1"/>
        <v>0</v>
      </c>
      <c r="BZ30" s="14" t="e">
        <f>IF((SUM(BV30:BY30))&gt;0,100*((BV30*'Global Values'!$B$5+BW30*'Global Values'!$B$6+Tracker!BX30*'Global Values'!$B$7+Tracker!BY30*'Global Values'!$B$8)),"")</f>
        <v>#VALUE!</v>
      </c>
    </row>
    <row r="31" spans="1:79" x14ac:dyDescent="0.45">
      <c r="A31">
        <v>26</v>
      </c>
      <c r="B31" t="s">
        <v>18</v>
      </c>
      <c r="N31" s="2"/>
      <c r="AM31" s="15"/>
      <c r="AR31" s="35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4"/>
      <c r="BR31" s="32"/>
      <c r="BS31" s="32"/>
      <c r="BT31" s="32"/>
      <c r="BU31" s="33"/>
      <c r="BV31" s="6" t="str">
        <f>IF((COUNTA(D31:M31)*'Global Values'!$B$2)=0,"",SUM(D31:M31)/(COUNTA(D31:M31)*'Global Values'!$B$2))</f>
        <v/>
      </c>
      <c r="BW31" s="8" t="str" cm="1">
        <f t="array" ref="BW31">IF('Global Values'!$B$3*COUNTA(N31:AQ31)=0,"",SUM(N31:AQ31/('Global Values'!$B$3*COUNTA(N31:AQ31))))</f>
        <v/>
      </c>
      <c r="BX31" s="8" t="str">
        <v/>
      </c>
      <c r="BY31" s="8" t="str">
        <f t="shared" si="1"/>
        <v/>
      </c>
      <c r="BZ31" s="14" t="str">
        <f>IF((SUM(BV31:BY31))&gt;0,100*((BV31*'Global Values'!$B$5+BW31*'Global Values'!$B$6+Tracker!BX31*'Global Values'!$B$7+Tracker!BY31*'Global Values'!$B$8)),"")</f>
        <v/>
      </c>
    </row>
    <row r="32" spans="1:79" x14ac:dyDescent="0.45">
      <c r="A32">
        <v>27</v>
      </c>
      <c r="B32" t="s">
        <v>19</v>
      </c>
      <c r="N32" s="2"/>
      <c r="AN32" s="15"/>
      <c r="AR32" s="35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4"/>
      <c r="BS32" s="32"/>
      <c r="BT32" s="32"/>
      <c r="BU32" s="33"/>
      <c r="BV32" s="6" t="str">
        <f>IF((COUNTA(D32:M32)*'Global Values'!$B$2)=0,"",SUM(D32:M32)/(COUNTA(D32:M32)*'Global Values'!$B$2))</f>
        <v/>
      </c>
      <c r="BW32" s="8" t="str" cm="1">
        <f t="array" ref="BW32">IF('Global Values'!$B$3*COUNTA(N32:AQ32)=0,"",SUM(N32:AQ32/('Global Values'!$B$3*COUNTA(N32:AQ32))))</f>
        <v/>
      </c>
      <c r="BX32" s="8" t="str">
        <v/>
      </c>
      <c r="BY32" s="8" t="str">
        <f t="shared" si="1"/>
        <v/>
      </c>
      <c r="BZ32" s="14" t="str">
        <f>IF((SUM(BV32:BY32))&gt;0,100*((BV32*'Global Values'!$B$5+BW32*'Global Values'!$B$6+Tracker!BX32*'Global Values'!$B$7+Tracker!BY32*'Global Values'!$B$8)),"")</f>
        <v/>
      </c>
    </row>
    <row r="33" spans="1:78" x14ac:dyDescent="0.45">
      <c r="A33">
        <v>28</v>
      </c>
      <c r="B33" t="s">
        <v>20</v>
      </c>
      <c r="N33" s="2"/>
      <c r="AO33" s="15"/>
      <c r="AR33" s="35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4"/>
      <c r="BT33" s="32"/>
      <c r="BU33" s="33"/>
      <c r="BV33" s="6" t="str">
        <f>IF((COUNTA(D33:M33)*'Global Values'!$B$2)=0,"",SUM(D33:M33)/(COUNTA(D33:M33)*'Global Values'!$B$2))</f>
        <v/>
      </c>
      <c r="BW33" s="8" t="str" cm="1">
        <f t="array" ref="BW33">IF('Global Values'!$B$3*COUNTA(N33:AQ33)=0,"",SUM(N33:AQ33/('Global Values'!$B$3*COUNTA(N33:AQ33))))</f>
        <v/>
      </c>
      <c r="BX33" s="8" t="str">
        <v/>
      </c>
      <c r="BY33" s="8" t="str">
        <f t="shared" si="1"/>
        <v/>
      </c>
      <c r="BZ33" s="14" t="str">
        <f>IF((SUM(BV33:BY33))&gt;0,100*((BV33*'Global Values'!$B$5+BW33*'Global Values'!$B$6+Tracker!BX33*'Global Values'!$B$7+Tracker!BY33*'Global Values'!$B$8)),"")</f>
        <v/>
      </c>
    </row>
    <row r="34" spans="1:78" x14ac:dyDescent="0.45">
      <c r="A34">
        <v>29</v>
      </c>
      <c r="B34" t="s">
        <v>21</v>
      </c>
      <c r="N34" s="2"/>
      <c r="AP34" s="15"/>
      <c r="AR34" s="35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4"/>
      <c r="BU34" s="33"/>
      <c r="BV34" s="6" t="str">
        <f>IF((COUNTA(D34:M34)*'Global Values'!$B$2)=0,"",SUM(D34:M34)/(COUNTA(D34:M34)*'Global Values'!$B$2))</f>
        <v/>
      </c>
      <c r="BW34" s="8" t="str" cm="1">
        <f t="array" ref="BW34">IF('Global Values'!$B$3*COUNTA(N34:AQ34)=0,"",SUM(N34:AQ34/('Global Values'!$B$3*COUNTA(N34:AQ34))))</f>
        <v/>
      </c>
      <c r="BX34" s="8" t="str">
        <v/>
      </c>
      <c r="BY34" s="8" t="str">
        <f t="shared" si="1"/>
        <v/>
      </c>
      <c r="BZ34" s="14" t="str">
        <f>IF((SUM(BV34:BY34))&gt;0,100*((BV34*'Global Values'!$B$5+BW34*'Global Values'!$B$6+Tracker!BX34*'Global Values'!$B$7+Tracker!BY34*'Global Values'!$B$8)),"")</f>
        <v/>
      </c>
    </row>
    <row r="35" spans="1:78" x14ac:dyDescent="0.45">
      <c r="A35">
        <v>30</v>
      </c>
      <c r="B35" t="s">
        <v>22</v>
      </c>
      <c r="N35" s="2"/>
      <c r="AQ35" s="15"/>
      <c r="AR35" s="35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4"/>
      <c r="BV35" s="6" t="str">
        <f>IF((COUNTA(D35:M35)*'Global Values'!$B$2)=0,"",SUM(D35:M35)/(COUNTA(D35:M35)*'Global Values'!$B$2))</f>
        <v/>
      </c>
      <c r="BW35" s="8" t="str" cm="1">
        <f t="array" ref="BW35">IF('Global Values'!$B$3*COUNTA(N35:AQ35)=0,"",SUM(N35:AQ35/('Global Values'!$B$3*COUNTA(N35:AQ35))))</f>
        <v/>
      </c>
      <c r="BX35" s="8" t="str">
        <v/>
      </c>
      <c r="BY35" s="8" t="str">
        <f t="shared" si="1"/>
        <v/>
      </c>
      <c r="BZ35" s="14" t="str">
        <f>IF((SUM(BV35:BY35))&gt;0,100*((BV35*'Global Values'!$B$5+BW35*'Global Values'!$B$6+Tracker!BX35*'Global Values'!$B$7+Tracker!BY35*'Global Values'!$B$8)),"")</f>
        <v/>
      </c>
    </row>
    <row r="36" spans="1:78" x14ac:dyDescent="0.45">
      <c r="AR36">
        <f t="shared" ref="AR36:BU36" si="2">COUNTA(AR6:AR35)</f>
        <v>9</v>
      </c>
      <c r="AS36">
        <f t="shared" si="2"/>
        <v>9</v>
      </c>
      <c r="AT36">
        <f t="shared" si="2"/>
        <v>9</v>
      </c>
      <c r="AU36">
        <f t="shared" si="2"/>
        <v>9</v>
      </c>
      <c r="AV36">
        <f t="shared" si="2"/>
        <v>9</v>
      </c>
      <c r="AW36">
        <f t="shared" si="2"/>
        <v>9</v>
      </c>
      <c r="AX36">
        <f t="shared" si="2"/>
        <v>9</v>
      </c>
      <c r="AY36">
        <f t="shared" si="2"/>
        <v>9</v>
      </c>
      <c r="AZ36">
        <f t="shared" si="2"/>
        <v>9</v>
      </c>
      <c r="BA36">
        <f t="shared" si="2"/>
        <v>9</v>
      </c>
      <c r="BB36">
        <f t="shared" si="2"/>
        <v>9</v>
      </c>
      <c r="BC36">
        <f t="shared" si="2"/>
        <v>9</v>
      </c>
      <c r="BD36">
        <f t="shared" si="2"/>
        <v>9</v>
      </c>
      <c r="BE36">
        <f t="shared" si="2"/>
        <v>9</v>
      </c>
      <c r="BF36">
        <f t="shared" si="2"/>
        <v>9</v>
      </c>
      <c r="BG36">
        <f t="shared" si="2"/>
        <v>9</v>
      </c>
      <c r="BH36">
        <f t="shared" si="2"/>
        <v>9</v>
      </c>
      <c r="BI36">
        <f t="shared" si="2"/>
        <v>9</v>
      </c>
      <c r="BJ36">
        <f t="shared" si="2"/>
        <v>0</v>
      </c>
      <c r="BK36">
        <f t="shared" si="2"/>
        <v>0</v>
      </c>
      <c r="BL36">
        <f t="shared" si="2"/>
        <v>0</v>
      </c>
      <c r="BM36">
        <f t="shared" si="2"/>
        <v>0</v>
      </c>
      <c r="BN36">
        <f t="shared" si="2"/>
        <v>2</v>
      </c>
      <c r="BO36">
        <f t="shared" si="2"/>
        <v>2</v>
      </c>
      <c r="BP36">
        <f t="shared" si="2"/>
        <v>2</v>
      </c>
      <c r="BQ36">
        <f t="shared" si="2"/>
        <v>0</v>
      </c>
      <c r="BR36">
        <f t="shared" si="2"/>
        <v>0</v>
      </c>
      <c r="BS36">
        <f t="shared" si="2"/>
        <v>0</v>
      </c>
      <c r="BT36">
        <f t="shared" si="2"/>
        <v>0</v>
      </c>
      <c r="BU36" s="12">
        <f t="shared" si="2"/>
        <v>0</v>
      </c>
    </row>
    <row r="37" spans="1:78" x14ac:dyDescent="0.45">
      <c r="D37">
        <f t="shared" ref="D37:I37" si="3">AVERAGE(D6:D35)</f>
        <v>14.444444444444445</v>
      </c>
      <c r="E37">
        <f t="shared" si="3"/>
        <v>14.888888888888889</v>
      </c>
      <c r="F37">
        <f t="shared" si="3"/>
        <v>16.111111111111111</v>
      </c>
      <c r="G37">
        <f t="shared" si="3"/>
        <v>18.666666666666668</v>
      </c>
      <c r="H37">
        <f t="shared" si="3"/>
        <v>16.333333333333332</v>
      </c>
      <c r="I37">
        <f t="shared" si="3"/>
        <v>16</v>
      </c>
      <c r="AR37">
        <f t="shared" ref="AR37:BU37" si="4">SUM(AR6:AR35)</f>
        <v>5.5</v>
      </c>
      <c r="AS37">
        <f t="shared" si="4"/>
        <v>6.5</v>
      </c>
      <c r="AT37">
        <f t="shared" si="4"/>
        <v>4</v>
      </c>
      <c r="AU37">
        <f t="shared" si="4"/>
        <v>8</v>
      </c>
      <c r="AV37">
        <f t="shared" si="4"/>
        <v>7.5</v>
      </c>
      <c r="AW37">
        <f t="shared" si="4"/>
        <v>4.5</v>
      </c>
      <c r="AX37">
        <f t="shared" si="4"/>
        <v>4.5</v>
      </c>
      <c r="AY37">
        <f t="shared" si="4"/>
        <v>6</v>
      </c>
      <c r="AZ37">
        <f t="shared" si="4"/>
        <v>3.5</v>
      </c>
      <c r="BA37">
        <f t="shared" si="4"/>
        <v>3</v>
      </c>
      <c r="BB37">
        <f t="shared" si="4"/>
        <v>3</v>
      </c>
      <c r="BC37">
        <f t="shared" si="4"/>
        <v>2.5</v>
      </c>
      <c r="BD37">
        <f t="shared" si="4"/>
        <v>6.5</v>
      </c>
      <c r="BE37">
        <f t="shared" si="4"/>
        <v>3</v>
      </c>
      <c r="BF37">
        <f t="shared" si="4"/>
        <v>7</v>
      </c>
      <c r="BG37">
        <f t="shared" si="4"/>
        <v>5</v>
      </c>
      <c r="BH37">
        <f t="shared" si="4"/>
        <v>5.5</v>
      </c>
      <c r="BI37">
        <f t="shared" si="4"/>
        <v>2</v>
      </c>
      <c r="BJ37">
        <f t="shared" si="4"/>
        <v>0</v>
      </c>
      <c r="BK37">
        <f t="shared" si="4"/>
        <v>0</v>
      </c>
      <c r="BL37">
        <f t="shared" si="4"/>
        <v>0</v>
      </c>
      <c r="BM37">
        <f t="shared" si="4"/>
        <v>0</v>
      </c>
      <c r="BN37">
        <f t="shared" si="4"/>
        <v>2</v>
      </c>
      <c r="BO37">
        <f t="shared" si="4"/>
        <v>1</v>
      </c>
      <c r="BP37">
        <f t="shared" si="4"/>
        <v>0</v>
      </c>
      <c r="BQ37">
        <f t="shared" si="4"/>
        <v>0</v>
      </c>
      <c r="BR37">
        <f t="shared" si="4"/>
        <v>0</v>
      </c>
      <c r="BS37">
        <f t="shared" si="4"/>
        <v>0</v>
      </c>
      <c r="BT37">
        <f t="shared" si="4"/>
        <v>0</v>
      </c>
      <c r="BU37">
        <f t="shared" si="4"/>
        <v>0</v>
      </c>
    </row>
    <row r="38" spans="1:78" x14ac:dyDescent="0.45">
      <c r="AR38" s="21">
        <f>IF(AR36=0,"",AR37/AR36)</f>
        <v>0.61111111111111116</v>
      </c>
      <c r="AS38" s="21">
        <f t="shared" ref="AS38:BU38" si="5">IF(AS36=0,"",AS37/AS36)</f>
        <v>0.72222222222222221</v>
      </c>
      <c r="AT38" s="21">
        <f t="shared" si="5"/>
        <v>0.44444444444444442</v>
      </c>
      <c r="AU38" s="21">
        <f t="shared" si="5"/>
        <v>0.88888888888888884</v>
      </c>
      <c r="AV38" s="21">
        <f t="shared" si="5"/>
        <v>0.83333333333333337</v>
      </c>
      <c r="AW38" s="21">
        <f t="shared" si="5"/>
        <v>0.5</v>
      </c>
      <c r="AX38" s="21">
        <f t="shared" si="5"/>
        <v>0.5</v>
      </c>
      <c r="AY38" s="21">
        <f t="shared" si="5"/>
        <v>0.66666666666666663</v>
      </c>
      <c r="AZ38" s="21">
        <f t="shared" si="5"/>
        <v>0.3888888888888889</v>
      </c>
      <c r="BA38" s="21">
        <f t="shared" si="5"/>
        <v>0.33333333333333331</v>
      </c>
      <c r="BB38" s="21">
        <f t="shared" si="5"/>
        <v>0.33333333333333331</v>
      </c>
      <c r="BC38" s="21">
        <f t="shared" si="5"/>
        <v>0.27777777777777779</v>
      </c>
      <c r="BD38" s="21">
        <f t="shared" si="5"/>
        <v>0.72222222222222221</v>
      </c>
      <c r="BE38" s="21">
        <f t="shared" si="5"/>
        <v>0.33333333333333331</v>
      </c>
      <c r="BF38" s="21">
        <f t="shared" si="5"/>
        <v>0.77777777777777779</v>
      </c>
      <c r="BG38" s="21">
        <f t="shared" si="5"/>
        <v>0.55555555555555558</v>
      </c>
      <c r="BH38" s="21">
        <f t="shared" si="5"/>
        <v>0.61111111111111116</v>
      </c>
      <c r="BI38" s="21">
        <f t="shared" si="5"/>
        <v>0.22222222222222221</v>
      </c>
      <c r="BJ38" s="21" t="str">
        <f t="shared" si="5"/>
        <v/>
      </c>
      <c r="BK38" s="21" t="str">
        <f t="shared" si="5"/>
        <v/>
      </c>
      <c r="BL38" s="21" t="str">
        <f t="shared" si="5"/>
        <v/>
      </c>
      <c r="BM38" s="21" t="str">
        <f t="shared" si="5"/>
        <v/>
      </c>
      <c r="BN38" s="21">
        <f t="shared" si="5"/>
        <v>1</v>
      </c>
      <c r="BO38" s="21">
        <f t="shared" si="5"/>
        <v>0.5</v>
      </c>
      <c r="BP38" s="21">
        <f t="shared" si="5"/>
        <v>0</v>
      </c>
      <c r="BQ38" s="21" t="str">
        <f t="shared" si="5"/>
        <v/>
      </c>
      <c r="BR38" s="21" t="str">
        <f t="shared" si="5"/>
        <v/>
      </c>
      <c r="BS38" s="21" t="str">
        <f t="shared" si="5"/>
        <v/>
      </c>
      <c r="BT38" s="21" t="str">
        <f t="shared" si="5"/>
        <v/>
      </c>
      <c r="BU38" s="21" t="str">
        <f t="shared" si="5"/>
        <v/>
      </c>
    </row>
  </sheetData>
  <mergeCells count="3">
    <mergeCell ref="N3:AQ3"/>
    <mergeCell ref="AR3:BU3"/>
    <mergeCell ref="D3:M3"/>
  </mergeCells>
  <phoneticPr fontId="1" type="noConversion"/>
  <conditionalFormatting sqref="BV6:BV26">
    <cfRule type="top10" dxfId="4" priority="4" rank="5"/>
  </conditionalFormatting>
  <conditionalFormatting sqref="BW6:BW26">
    <cfRule type="top10" dxfId="3" priority="3" rank="5"/>
  </conditionalFormatting>
  <conditionalFormatting sqref="BX6:BX26">
    <cfRule type="top10" dxfId="2" priority="2" rank="5"/>
  </conditionalFormatting>
  <conditionalFormatting sqref="BY6:BY26">
    <cfRule type="top10" dxfId="1" priority="1" rank="5"/>
  </conditionalFormatting>
  <conditionalFormatting sqref="BZ6:BZ35">
    <cfRule type="top10" dxfId="0" priority="5" rank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F6FF7-CA92-4EA9-A56D-271F39B2629E}">
  <dimension ref="A2:B8"/>
  <sheetViews>
    <sheetView workbookViewId="0">
      <selection activeCell="F6" sqref="F6"/>
    </sheetView>
  </sheetViews>
  <sheetFormatPr defaultRowHeight="14.25" x14ac:dyDescent="0.45"/>
  <cols>
    <col min="1" max="1" width="34.73046875" customWidth="1"/>
  </cols>
  <sheetData>
    <row r="2" spans="1:2" x14ac:dyDescent="0.45">
      <c r="A2" t="s">
        <v>23</v>
      </c>
      <c r="B2">
        <v>25</v>
      </c>
    </row>
    <row r="3" spans="1:2" x14ac:dyDescent="0.45">
      <c r="A3" t="s">
        <v>24</v>
      </c>
      <c r="B3">
        <v>10</v>
      </c>
    </row>
    <row r="5" spans="1:2" x14ac:dyDescent="0.45">
      <c r="A5" t="s">
        <v>25</v>
      </c>
      <c r="B5" s="5">
        <v>0.45</v>
      </c>
    </row>
    <row r="6" spans="1:2" x14ac:dyDescent="0.45">
      <c r="A6" t="s">
        <v>26</v>
      </c>
      <c r="B6" s="5">
        <v>0.2</v>
      </c>
    </row>
    <row r="7" spans="1:2" x14ac:dyDescent="0.45">
      <c r="A7" t="s">
        <v>27</v>
      </c>
      <c r="B7" s="5">
        <v>0.25</v>
      </c>
    </row>
    <row r="8" spans="1:2" x14ac:dyDescent="0.45">
      <c r="A8" t="s">
        <v>28</v>
      </c>
      <c r="B8" s="5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2E4B262CEBA549824B2DEB2C019901" ma:contentTypeVersion="16" ma:contentTypeDescription="Create a new document." ma:contentTypeScope="" ma:versionID="1fa589735969bb46541034cb883ae510">
  <xsd:schema xmlns:xsd="http://www.w3.org/2001/XMLSchema" xmlns:xs="http://www.w3.org/2001/XMLSchema" xmlns:p="http://schemas.microsoft.com/office/2006/metadata/properties" xmlns:ns2="ac086dd4-31bc-49f4-8e41-6ace3ff4395b" xmlns:ns3="fe422eb3-ffee-4ad4-b5bb-966ccc6eb775" targetNamespace="http://schemas.microsoft.com/office/2006/metadata/properties" ma:root="true" ma:fieldsID="517bbc475fb952dd5adafaaf43b43ad2" ns2:_="" ns3:_="">
    <xsd:import namespace="ac086dd4-31bc-49f4-8e41-6ace3ff4395b"/>
    <xsd:import namespace="fe422eb3-ffee-4ad4-b5bb-966ccc6eb7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86dd4-31bc-49f4-8e41-6ace3ff43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7541bbe-64bf-4c05-b612-fb2973871b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22eb3-ffee-4ad4-b5bb-966ccc6eb77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f7c9cb1-3f29-4fd6-a785-b49fd5464f72}" ma:internalName="TaxCatchAll" ma:showField="CatchAllData" ma:web="fe422eb3-ffee-4ad4-b5bb-966ccc6eb7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BE9461-4A09-4430-8E0C-5FCE9EE728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086dd4-31bc-49f4-8e41-6ace3ff4395b"/>
    <ds:schemaRef ds:uri="fe422eb3-ffee-4ad4-b5bb-966ccc6eb7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C7FD65-3ADB-403F-9DCF-1664A3FF70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Global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 Deakin</dc:creator>
  <cp:keywords/>
  <dc:description/>
  <cp:lastModifiedBy>Adi Jacobson</cp:lastModifiedBy>
  <cp:revision/>
  <dcterms:created xsi:type="dcterms:W3CDTF">2023-02-07T18:07:16Z</dcterms:created>
  <dcterms:modified xsi:type="dcterms:W3CDTF">2026-09-24T09:56:37Z</dcterms:modified>
  <cp:category/>
  <cp:contentStatus/>
</cp:coreProperties>
</file>